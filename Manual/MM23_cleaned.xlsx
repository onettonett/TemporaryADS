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ettperera/Desktop/ADS_Easter/Manual/"/>
    </mc:Choice>
  </mc:AlternateContent>
  <xr:revisionPtr revIDLastSave="0" documentId="13_ncr:1_{17CDD7B3-AF62-0443-8D9E-AC0CF5295008}" xr6:coauthVersionLast="47" xr6:coauthVersionMax="47" xr10:uidLastSave="{00000000-0000-0000-0000-000000000000}"/>
  <bookViews>
    <workbookView xWindow="0" yWindow="660" windowWidth="30240" windowHeight="18980" activeTab="2" xr2:uid="{B1576BF3-F55A-1D42-85D3-6C766BD046A7}"/>
  </bookViews>
  <sheets>
    <sheet name="Monthly" sheetId="1" r:id="rId1"/>
    <sheet name="Financial Year Averages" sheetId="2" r:id="rId2"/>
    <sheet name="Financial Year Infl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C2" i="3"/>
  <c r="D2" i="3"/>
  <c r="E2" i="3"/>
  <c r="F2" i="3"/>
  <c r="G2" i="3"/>
  <c r="H2" i="3"/>
  <c r="I2" i="3"/>
  <c r="J2" i="3"/>
  <c r="K2" i="3"/>
  <c r="L2" i="3"/>
  <c r="M2" i="3"/>
  <c r="N2" i="3"/>
  <c r="O2" i="3"/>
  <c r="B2" i="3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C2" i="2"/>
  <c r="D2" i="2"/>
  <c r="E2" i="2"/>
  <c r="F2" i="2"/>
  <c r="G2" i="2"/>
  <c r="H2" i="2"/>
  <c r="I2" i="2"/>
  <c r="J2" i="2"/>
  <c r="K2" i="2"/>
  <c r="L2" i="2"/>
  <c r="M2" i="2"/>
  <c r="N2" i="2"/>
  <c r="O2" i="2"/>
  <c r="B2" i="2"/>
  <c r="VB22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" i="1"/>
</calcChain>
</file>

<file path=xl/sharedStrings.xml><?xml version="1.0" encoding="utf-8"?>
<sst xmlns="http://schemas.openxmlformats.org/spreadsheetml/2006/main" count="148" uniqueCount="133">
  <si>
    <t>aggregate number</t>
  </si>
  <si>
    <t>cdid</t>
  </si>
  <si>
    <t xml:space="preserve">index date   </t>
  </si>
  <si>
    <t>name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</si>
  <si>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</si>
  <si>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</si>
  <si>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</si>
  <si>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</si>
  <si>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</si>
  <si>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</si>
  <si>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</si>
  <si>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</si>
  <si>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</si>
  <si>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</si>
  <si>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</si>
  <si>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</si>
  <si>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</si>
  <si>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</si>
  <si>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</si>
  <si>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</si>
  <si>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</si>
  <si>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</si>
  <si>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</si>
  <si>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</si>
  <si>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</si>
  <si>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</si>
  <si>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</si>
  <si>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</si>
  <si>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</si>
  <si>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</si>
  <si>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</si>
  <si>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</si>
  <si>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</si>
  <si>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</si>
  <si>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</si>
  <si>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</si>
  <si>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</si>
  <si>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</si>
  <si>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</si>
  <si>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</si>
  <si>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</si>
  <si>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</si>
  <si>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</si>
  <si>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</si>
  <si>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</si>
  <si>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</si>
  <si>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</si>
  <si>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</si>
  <si>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</si>
  <si>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</si>
  <si>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</si>
  <si>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</si>
  <si>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</si>
  <si>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</si>
  <si>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</si>
  <si>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</si>
  <si>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</si>
  <si>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</si>
  <si>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</si>
  <si>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</si>
  <si>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</si>
  <si>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</si>
  <si>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</si>
  <si>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</si>
  <si>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</si>
  <si>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</si>
  <si>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</si>
  <si>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</si>
  <si>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</si>
  <si>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</si>
  <si>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</si>
  <si>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</si>
  <si>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</si>
  <si>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</si>
  <si>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</si>
  <si>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</si>
  <si>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</si>
  <si>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</si>
  <si>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</si>
  <si>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</si>
  <si>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</si>
  <si>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</si>
  <si>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</si>
  <si>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</si>
  <si>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</si>
  <si>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</si>
  <si>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</si>
  <si>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</si>
  <si>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 xml:space="preserve">L522  </t>
  </si>
  <si>
    <t xml:space="preserve">L523  </t>
  </si>
  <si>
    <t>CPIH ALL ITEMS</t>
  </si>
  <si>
    <t>FOOD AND NON-ALCOHOLIC BEVERAGES</t>
  </si>
  <si>
    <t xml:space="preserve">L524  </t>
  </si>
  <si>
    <t>ALCOHOLIC BEVERAGES AND TOBACCO</t>
  </si>
  <si>
    <t xml:space="preserve">L525  </t>
  </si>
  <si>
    <t>CLOTHING AND FOOTWEAR</t>
  </si>
  <si>
    <t>L5PG</t>
  </si>
  <si>
    <t>HOUSING, WATER, ELELCTRICITY, GAS AND OTHER FUELS</t>
  </si>
  <si>
    <t xml:space="preserve">L527  </t>
  </si>
  <si>
    <t>FURNITURE, HOUSEHOLD EQUIPMENT AND MAINTENANCE</t>
  </si>
  <si>
    <t xml:space="preserve">L528  </t>
  </si>
  <si>
    <t>HEALTH</t>
  </si>
  <si>
    <t xml:space="preserve">L529  </t>
  </si>
  <si>
    <t>TRANSPORT</t>
  </si>
  <si>
    <t xml:space="preserve">L52A  </t>
  </si>
  <si>
    <t>COMMUNICATION</t>
  </si>
  <si>
    <t xml:space="preserve">L52B  </t>
  </si>
  <si>
    <t>RECREATION &amp; CULTURE</t>
  </si>
  <si>
    <t xml:space="preserve">L52C  </t>
  </si>
  <si>
    <t>EDUCATION</t>
  </si>
  <si>
    <t xml:space="preserve">L52D  </t>
  </si>
  <si>
    <t>RESTAURANTS AND HOTELS</t>
  </si>
  <si>
    <t xml:space="preserve">L52E  </t>
  </si>
  <si>
    <t>MISCELLANEOUS GOODS AND SERVICES</t>
  </si>
  <si>
    <t xml:space="preserve">L536  </t>
  </si>
  <si>
    <t>ACTUAL RENTALS FOR HOUSING</t>
  </si>
  <si>
    <t xml:space="preserve">L53D  </t>
  </si>
  <si>
    <t>ELECTRICITY, GAS AND OTHER FUELS</t>
  </si>
  <si>
    <t>All Items</t>
  </si>
  <si>
    <t>Food</t>
  </si>
  <si>
    <t>Alcohol</t>
  </si>
  <si>
    <t>Clothing</t>
  </si>
  <si>
    <t>Housing</t>
  </si>
  <si>
    <t>Furniture</t>
  </si>
  <si>
    <t>Health</t>
  </si>
  <si>
    <t>Transport</t>
  </si>
  <si>
    <t>Communication</t>
  </si>
  <si>
    <t>Recreation</t>
  </si>
  <si>
    <t>Education</t>
  </si>
  <si>
    <t>Restaurants</t>
  </si>
  <si>
    <t>Misc</t>
  </si>
  <si>
    <t>Actual Rent</t>
  </si>
  <si>
    <t>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</si>
</sst>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7"/>
      <name val="Arial Narrow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EAECF0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84">
    <xf numFmtId="0" fontId="0" fillId="0" borderId="0" xfId="0"/>
    <xf numFmtId="0" fontId="0" fillId="2" borderId="1" xfId="0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4" borderId="4" xfId="0" applyFill="1" applyBorder="1" applyAlignment="1" applyProtection="1">
      <alignment horizontal="right"/>
      <protection locked="0"/>
    </xf>
    <xf numFmtId="0" fontId="1" fillId="0" borderId="5" xfId="0" applyFont="1" applyBorder="1" applyProtection="1">
      <protection locked="0"/>
    </xf>
    <xf numFmtId="17" fontId="1" fillId="0" borderId="5" xfId="0" applyNumberFormat="1" applyFont="1" applyBorder="1" applyProtection="1">
      <protection locked="0"/>
    </xf>
    <xf numFmtId="0" fontId="1" fillId="0" borderId="6" xfId="0" applyFont="1" applyBorder="1" applyProtection="1">
      <protection locked="0"/>
    </xf>
    <xf numFmtId="17" fontId="1" fillId="0" borderId="6" xfId="0" applyNumberFormat="1" applyFont="1" applyBorder="1" applyProtection="1">
      <protection locked="0"/>
    </xf>
    <xf numFmtId="0" fontId="0" fillId="0" borderId="6" xfId="0" applyBorder="1" applyAlignment="1">
      <alignment horizontal="right"/>
    </xf>
    <xf numFmtId="17" fontId="0" fillId="0" borderId="6" xfId="0" applyNumberFormat="1" applyBorder="1"/>
    <xf numFmtId="0" fontId="0" fillId="0" borderId="6" xfId="0" applyBorder="1"/>
    <xf numFmtId="0" fontId="1" fillId="0" borderId="6" xfId="0" applyFont="1" applyBorder="1"/>
    <xf numFmtId="17" fontId="1" fillId="0" borderId="6" xfId="0" applyNumberFormat="1" applyFont="1" applyBorder="1"/>
    <xf numFmtId="0" fontId="1" fillId="0" borderId="7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17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7" fontId="1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7" fontId="2" fillId="0" borderId="9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 wrapText="1"/>
    </xf>
    <xf numFmtId="164" fontId="5" fillId="6" borderId="12" xfId="0" applyNumberFormat="1" applyFont="1" applyFill="1" applyBorder="1" applyAlignment="1">
      <alignment horizontal="center" wrapText="1"/>
    </xf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Protection="1">
      <protection locked="0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13" xfId="0" applyNumberFormat="1" applyBorder="1"/>
    <xf numFmtId="164" fontId="7" fillId="0" borderId="0" xfId="1" applyNumberFormat="1" applyFont="1"/>
    <xf numFmtId="164" fontId="8" fillId="0" borderId="0" xfId="0" applyNumberFormat="1" applyFont="1"/>
    <xf numFmtId="164" fontId="7" fillId="0" borderId="13" xfId="1" applyNumberFormat="1" applyFont="1" applyBorder="1"/>
    <xf numFmtId="164" fontId="8" fillId="0" borderId="13" xfId="0" applyNumberFormat="1" applyFont="1" applyBorder="1"/>
    <xf numFmtId="164" fontId="7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0" xfId="1" applyNumberFormat="1" applyFont="1"/>
    <xf numFmtId="164" fontId="7" fillId="0" borderId="0" xfId="2" applyNumberFormat="1" applyFont="1" applyAlignment="1">
      <alignment horizontal="right"/>
    </xf>
    <xf numFmtId="164" fontId="7" fillId="0" borderId="0" xfId="3" applyNumberFormat="1" applyFont="1"/>
    <xf numFmtId="164" fontId="7" fillId="0" borderId="0" xfId="4" applyNumberFormat="1" applyFont="1"/>
    <xf numFmtId="164" fontId="7" fillId="0" borderId="0" xfId="5" applyNumberFormat="1" applyFont="1"/>
    <xf numFmtId="164" fontId="7" fillId="0" borderId="0" xfId="6" applyNumberFormat="1" applyFont="1" applyAlignment="1">
      <alignment horizontal="right"/>
    </xf>
    <xf numFmtId="164" fontId="7" fillId="0" borderId="0" xfId="7" applyNumberFormat="1" applyFont="1"/>
    <xf numFmtId="164" fontId="7" fillId="0" borderId="0" xfId="8" applyNumberFormat="1" applyFont="1"/>
    <xf numFmtId="164" fontId="7" fillId="0" borderId="0" xfId="9" applyNumberFormat="1" applyFont="1" applyAlignment="1">
      <alignment horizontal="right"/>
    </xf>
    <xf numFmtId="164" fontId="9" fillId="0" borderId="0" xfId="10" applyNumberFormat="1" applyFont="1" applyAlignment="1">
      <alignment horizontal="right"/>
    </xf>
    <xf numFmtId="164" fontId="7" fillId="0" borderId="0" xfId="11" applyNumberFormat="1" applyFont="1"/>
    <xf numFmtId="164" fontId="7" fillId="0" borderId="0" xfId="12" applyNumberFormat="1" applyFont="1"/>
    <xf numFmtId="164" fontId="7" fillId="0" borderId="13" xfId="13" applyNumberFormat="1" applyFont="1" applyBorder="1" applyAlignment="1">
      <alignment horizontal="right"/>
    </xf>
    <xf numFmtId="164" fontId="7" fillId="0" borderId="0" xfId="13" applyNumberFormat="1" applyFont="1" applyAlignment="1">
      <alignment horizontal="right"/>
    </xf>
    <xf numFmtId="164" fontId="7" fillId="0" borderId="0" xfId="14" applyNumberFormat="1" applyFont="1"/>
    <xf numFmtId="164" fontId="7" fillId="0" borderId="0" xfId="15" applyNumberFormat="1" applyFont="1" applyAlignment="1">
      <alignment horizontal="right"/>
    </xf>
    <xf numFmtId="164" fontId="7" fillId="0" borderId="0" xfId="16" applyNumberFormat="1" applyFont="1" applyAlignment="1">
      <alignment horizontal="right"/>
    </xf>
    <xf numFmtId="164" fontId="7" fillId="0" borderId="13" xfId="17" applyNumberFormat="1" applyFont="1" applyBorder="1"/>
    <xf numFmtId="164" fontId="7" fillId="0" borderId="0" xfId="17" applyNumberFormat="1" applyFont="1"/>
    <xf numFmtId="164" fontId="7" fillId="0" borderId="0" xfId="18" applyNumberFormat="1" applyFont="1" applyAlignment="1">
      <alignment horizontal="right"/>
    </xf>
    <xf numFmtId="164" fontId="7" fillId="0" borderId="13" xfId="19" applyNumberFormat="1" applyFont="1" applyBorder="1"/>
    <xf numFmtId="164" fontId="7" fillId="0" borderId="0" xfId="19" applyNumberFormat="1" applyFont="1"/>
    <xf numFmtId="164" fontId="7" fillId="0" borderId="13" xfId="20" applyNumberFormat="1" applyFont="1" applyBorder="1"/>
    <xf numFmtId="164" fontId="7" fillId="0" borderId="0" xfId="20" applyNumberFormat="1" applyFont="1"/>
    <xf numFmtId="164" fontId="7" fillId="0" borderId="0" xfId="21" applyNumberFormat="1" applyFont="1"/>
    <xf numFmtId="164" fontId="7" fillId="0" borderId="0" xfId="22" applyNumberFormat="1" applyFont="1"/>
    <xf numFmtId="164" fontId="7" fillId="0" borderId="0" xfId="23" applyNumberFormat="1" applyFont="1" applyAlignment="1">
      <alignment horizontal="right"/>
    </xf>
    <xf numFmtId="164" fontId="7" fillId="0" borderId="13" xfId="24" applyNumberFormat="1" applyFont="1" applyBorder="1" applyAlignment="1">
      <alignment horizontal="right"/>
    </xf>
    <xf numFmtId="164" fontId="7" fillId="0" borderId="0" xfId="24" applyNumberFormat="1" applyFont="1" applyAlignment="1">
      <alignment horizontal="right"/>
    </xf>
    <xf numFmtId="164" fontId="7" fillId="0" borderId="0" xfId="25" applyNumberFormat="1" applyFont="1" applyAlignment="1">
      <alignment horizontal="right"/>
    </xf>
    <xf numFmtId="164" fontId="7" fillId="0" borderId="0" xfId="26" applyNumberFormat="1" applyFont="1"/>
    <xf numFmtId="164" fontId="7" fillId="0" borderId="0" xfId="27" applyNumberFormat="1" applyFont="1"/>
    <xf numFmtId="164" fontId="7" fillId="0" borderId="0" xfId="28" applyNumberFormat="1" applyFont="1" applyAlignment="1">
      <alignment horizontal="right"/>
    </xf>
    <xf numFmtId="164" fontId="7" fillId="0" borderId="0" xfId="29" applyNumberFormat="1" applyFont="1"/>
    <xf numFmtId="164" fontId="7" fillId="0" borderId="0" xfId="30" applyNumberFormat="1" applyFont="1"/>
    <xf numFmtId="164" fontId="7" fillId="0" borderId="0" xfId="31" applyNumberFormat="1" applyFont="1"/>
    <xf numFmtId="164" fontId="7" fillId="0" borderId="0" xfId="32" applyNumberFormat="1" applyFont="1" applyAlignment="1">
      <alignment horizontal="right"/>
    </xf>
    <xf numFmtId="164" fontId="7" fillId="0" borderId="0" xfId="33" applyNumberFormat="1" applyFont="1"/>
    <xf numFmtId="164" fontId="10" fillId="0" borderId="14" xfId="34" applyNumberFormat="1" applyFont="1" applyBorder="1"/>
    <xf numFmtId="164" fontId="5" fillId="7" borderId="12" xfId="0" applyNumberFormat="1" applyFont="1" applyFill="1" applyBorder="1" applyAlignment="1">
      <alignment horizontal="center" wrapText="1"/>
    </xf>
    <xf numFmtId="0" fontId="0" fillId="0" borderId="4" xfId="0" applyBorder="1" applyAlignment="1" applyProtection="1">
      <alignment horizontal="right"/>
      <protection locked="0"/>
    </xf>
    <xf numFmtId="0" fontId="11" fillId="0" borderId="0" xfId="0" applyFont="1"/>
    <xf numFmtId="0" fontId="6" fillId="0" borderId="0" xfId="3"/>
  </cellXfs>
  <cellStyles count="35">
    <cellStyle name="Normal" xfId="0" builtinId="0"/>
    <cellStyle name="Normal 10" xfId="3" xr:uid="{331D262B-E095-FA4E-9559-E8B01E2F4814}"/>
    <cellStyle name="Normal 11" xfId="4" xr:uid="{86A3514D-C213-C44B-995E-563CFBB608B0}"/>
    <cellStyle name="Normal 13" xfId="5" xr:uid="{DA60FFE4-0B5A-7548-B095-85C81B4261FF}"/>
    <cellStyle name="Normal 14" xfId="6" xr:uid="{2173DF96-9E1F-F240-91D6-29C3D9F09183}"/>
    <cellStyle name="Normal 15" xfId="7" xr:uid="{39DA34DC-F0F1-8C42-B9A5-0523029EE6BC}"/>
    <cellStyle name="Normal 17" xfId="8" xr:uid="{A6081EED-DF84-9244-921E-3F6891952A3D}"/>
    <cellStyle name="Normal 18" xfId="9" xr:uid="{EE26E4F7-E3BF-0646-94C5-6D1A17DF8EE2}"/>
    <cellStyle name="Normal 19" xfId="10" xr:uid="{478B7B98-EB4C-A043-A546-305125B53282}"/>
    <cellStyle name="Normal 20" xfId="11" xr:uid="{AE7E7323-F04E-7644-9C8C-69375577F706}"/>
    <cellStyle name="Normal 21" xfId="12" xr:uid="{614F06CD-AFFF-D045-A980-FE0766DF6F9A}"/>
    <cellStyle name="Normal 22" xfId="13" xr:uid="{02B6EDBB-D534-9049-9299-ACF150B34EA9}"/>
    <cellStyle name="Normal 23" xfId="14" xr:uid="{91B0D3DE-3FC7-DF47-84B0-86D80EC194A2}"/>
    <cellStyle name="Normal 25" xfId="15" xr:uid="{D356AE98-D9BA-9C41-8616-31A940923678}"/>
    <cellStyle name="Normal 26" xfId="16" xr:uid="{BBA00597-F6C3-4C4B-92B5-B41CAF2AD8A9}"/>
    <cellStyle name="Normal 27" xfId="17" xr:uid="{9A8F2E72-4A3F-B341-9EA4-1C006E1A89C1}"/>
    <cellStyle name="Normal 28" xfId="18" xr:uid="{AB33E213-43DD-544F-9DB9-A5412F35566C}"/>
    <cellStyle name="Normal 29" xfId="19" xr:uid="{B12C22D8-51CD-1E48-9552-6738C4B150B5}"/>
    <cellStyle name="Normal 30" xfId="20" xr:uid="{4C6331A7-3737-B444-9366-221A50EF26FC}"/>
    <cellStyle name="Normal 31" xfId="21" xr:uid="{521F324B-8FBF-FB4A-934A-89927AAF6247}"/>
    <cellStyle name="Normal 32" xfId="22" xr:uid="{2EE7F16E-BEA3-6147-800C-67AB185C0D68}"/>
    <cellStyle name="Normal 33" xfId="23" xr:uid="{C92DFAA5-E5A6-C243-828F-C08D572A0635}"/>
    <cellStyle name="Normal 34" xfId="24" xr:uid="{EBCFBDC9-0E70-B148-B704-7D87B3F5E01B}"/>
    <cellStyle name="Normal 35" xfId="25" xr:uid="{E01AC45C-C1B4-B44D-946E-5583445EFCE6}"/>
    <cellStyle name="Normal 36" xfId="26" xr:uid="{4A4D30E0-111B-9B42-BC16-2E2627B4C151}"/>
    <cellStyle name="Normal 37" xfId="27" xr:uid="{0297710D-1CDD-BC41-AE0A-3270959A389F}"/>
    <cellStyle name="Normal 38" xfId="28" xr:uid="{C427DE35-2423-554A-8069-5443902E88C4}"/>
    <cellStyle name="Normal 39" xfId="29" xr:uid="{E90C345C-C30D-FC47-9E8B-C223BE146925}"/>
    <cellStyle name="Normal 40" xfId="30" xr:uid="{A16FF9FE-8885-A24D-BDD0-87E27E67916C}"/>
    <cellStyle name="Normal 41" xfId="31" xr:uid="{D253FFB1-A28C-364D-A8D1-2C27072A937D}"/>
    <cellStyle name="Normal 42" xfId="32" xr:uid="{4D0A28E2-783E-7C4E-B004-12AE601B752B}"/>
    <cellStyle name="Normal 43" xfId="33" xr:uid="{0B3CE981-1A91-1144-8607-2EA43D7BC4B0}"/>
    <cellStyle name="Normal 44" xfId="34" xr:uid="{C09650D2-E486-DD45-AAB4-35987C69EAD7}"/>
    <cellStyle name="Normal 7" xfId="1" xr:uid="{CAB4837D-9469-7F46-96FF-6C683B94F68A}"/>
    <cellStyle name="Normal 9" xfId="2" xr:uid="{DDA8B087-A603-6E46-A345-69790DF8B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1857-5156-FC42-9D64-A00B2E7A2922}">
  <dimension ref="A1:R461"/>
  <sheetViews>
    <sheetView zoomScale="89" workbookViewId="0">
      <selection activeCell="S6" sqref="S6"/>
    </sheetView>
  </sheetViews>
  <sheetFormatPr baseColWidth="10" defaultRowHeight="16" x14ac:dyDescent="0.2"/>
  <sheetData>
    <row r="1" spans="1:18" x14ac:dyDescent="0.2">
      <c r="A1" s="1"/>
      <c r="B1" s="1"/>
      <c r="C1" s="1" t="s">
        <v>0</v>
      </c>
      <c r="D1" s="23">
        <v>0</v>
      </c>
      <c r="E1" s="24">
        <v>1</v>
      </c>
      <c r="F1" s="24">
        <v>2</v>
      </c>
      <c r="G1" s="24">
        <v>3</v>
      </c>
      <c r="H1" s="24">
        <v>4</v>
      </c>
      <c r="I1" s="24">
        <v>5</v>
      </c>
      <c r="J1" s="24">
        <v>6</v>
      </c>
      <c r="K1" s="24">
        <v>7</v>
      </c>
      <c r="L1" s="24">
        <v>8</v>
      </c>
      <c r="M1" s="24">
        <v>9</v>
      </c>
      <c r="N1" s="24">
        <v>10</v>
      </c>
      <c r="O1" s="24">
        <v>11</v>
      </c>
      <c r="P1" s="24">
        <v>12</v>
      </c>
      <c r="Q1" s="24">
        <v>4.0999999999999996</v>
      </c>
      <c r="R1" s="24">
        <v>4.5</v>
      </c>
    </row>
    <row r="2" spans="1:18" x14ac:dyDescent="0.2">
      <c r="A2" s="2"/>
      <c r="B2" s="2"/>
      <c r="C2" s="3" t="s">
        <v>1</v>
      </c>
      <c r="D2" s="25" t="s">
        <v>88</v>
      </c>
      <c r="E2" s="26" t="s">
        <v>89</v>
      </c>
      <c r="F2" s="26" t="s">
        <v>92</v>
      </c>
      <c r="G2" s="26" t="s">
        <v>94</v>
      </c>
      <c r="H2" s="26" t="s">
        <v>96</v>
      </c>
      <c r="I2" s="26" t="s">
        <v>98</v>
      </c>
      <c r="J2" s="26" t="s">
        <v>100</v>
      </c>
      <c r="K2" s="26" t="s">
        <v>102</v>
      </c>
      <c r="L2" s="26" t="s">
        <v>104</v>
      </c>
      <c r="M2" s="26" t="s">
        <v>106</v>
      </c>
      <c r="N2" s="26" t="s">
        <v>108</v>
      </c>
      <c r="O2" s="26" t="s">
        <v>110</v>
      </c>
      <c r="P2" s="26" t="s">
        <v>112</v>
      </c>
      <c r="Q2" s="26" t="s">
        <v>114</v>
      </c>
      <c r="R2" s="26" t="s">
        <v>116</v>
      </c>
    </row>
    <row r="3" spans="1:18" ht="49" x14ac:dyDescent="0.2">
      <c r="A3" s="4" t="s">
        <v>2</v>
      </c>
      <c r="B3" s="81"/>
      <c r="C3" s="5" t="s">
        <v>3</v>
      </c>
      <c r="D3" s="27" t="s">
        <v>90</v>
      </c>
      <c r="E3" s="28" t="s">
        <v>91</v>
      </c>
      <c r="F3" s="28" t="s">
        <v>93</v>
      </c>
      <c r="G3" s="28" t="s">
        <v>95</v>
      </c>
      <c r="H3" s="28" t="s">
        <v>97</v>
      </c>
      <c r="I3" s="28" t="s">
        <v>99</v>
      </c>
      <c r="J3" s="28" t="s">
        <v>101</v>
      </c>
      <c r="K3" s="28" t="s">
        <v>103</v>
      </c>
      <c r="L3" s="28" t="s">
        <v>105</v>
      </c>
      <c r="M3" s="28" t="s">
        <v>107</v>
      </c>
      <c r="N3" s="28" t="s">
        <v>109</v>
      </c>
      <c r="O3" s="28" t="s">
        <v>111</v>
      </c>
      <c r="P3" s="28" t="s">
        <v>113</v>
      </c>
      <c r="Q3" s="80" t="s">
        <v>115</v>
      </c>
      <c r="R3" s="80" t="s">
        <v>117</v>
      </c>
    </row>
    <row r="4" spans="1:18" x14ac:dyDescent="0.2">
      <c r="A4" s="6">
        <v>198801</v>
      </c>
      <c r="B4" s="6">
        <f>IF(MOD(A4,100)&gt;=4,  INT(A4/100), INT(A4/100)-1)</f>
        <v>1987</v>
      </c>
      <c r="C4" s="7">
        <v>32143</v>
      </c>
      <c r="D4" s="29">
        <v>46.850999999999999</v>
      </c>
      <c r="E4" s="29">
        <v>47.901000000000003</v>
      </c>
      <c r="F4" s="29">
        <v>27.262</v>
      </c>
      <c r="G4" s="29">
        <v>191.97300000000001</v>
      </c>
      <c r="H4" s="29">
        <v>38.713999999999999</v>
      </c>
      <c r="I4" s="29">
        <v>68.284999999999997</v>
      </c>
      <c r="J4" s="29">
        <v>37.606000000000002</v>
      </c>
      <c r="K4" s="29">
        <v>40.338000000000001</v>
      </c>
      <c r="L4" s="29">
        <v>96.974000000000004</v>
      </c>
      <c r="M4" s="29">
        <v>73.343000000000004</v>
      </c>
      <c r="N4" s="29">
        <v>12.343999999999999</v>
      </c>
      <c r="O4" s="29">
        <v>32.871000000000002</v>
      </c>
      <c r="P4" s="29">
        <v>45.902999999999999</v>
      </c>
      <c r="Q4" s="29">
        <v>31.135000000000002</v>
      </c>
      <c r="R4" s="29">
        <v>29.131</v>
      </c>
    </row>
    <row r="5" spans="1:18" x14ac:dyDescent="0.2">
      <c r="A5" s="8">
        <v>198802</v>
      </c>
      <c r="B5" s="6">
        <f t="shared" ref="B5:B68" si="0">IF(MOD(A5,100)&gt;=4,  INT(A5/100), INT(A5/100)-1)</f>
        <v>1987</v>
      </c>
      <c r="C5" s="9">
        <v>32174</v>
      </c>
      <c r="D5" s="29">
        <v>46.997999999999998</v>
      </c>
      <c r="E5" s="29">
        <v>48.173999999999999</v>
      </c>
      <c r="F5" s="29">
        <v>27.364999999999998</v>
      </c>
      <c r="G5" s="29">
        <v>193.18100000000001</v>
      </c>
      <c r="H5" s="29">
        <v>38.790999999999997</v>
      </c>
      <c r="I5" s="29">
        <v>68.649000000000001</v>
      </c>
      <c r="J5" s="29">
        <v>37.661999999999999</v>
      </c>
      <c r="K5" s="29">
        <v>40.317</v>
      </c>
      <c r="L5" s="29">
        <v>96.962999999999994</v>
      </c>
      <c r="M5" s="29">
        <v>73.552999999999997</v>
      </c>
      <c r="N5" s="29">
        <v>12.348000000000001</v>
      </c>
      <c r="O5" s="29">
        <v>33.024999999999999</v>
      </c>
      <c r="P5" s="29">
        <v>46.085999999999999</v>
      </c>
      <c r="Q5" s="29">
        <v>31.16</v>
      </c>
      <c r="R5" s="29">
        <v>29.077000000000002</v>
      </c>
    </row>
    <row r="6" spans="1:18" x14ac:dyDescent="0.2">
      <c r="A6" s="8">
        <v>198803</v>
      </c>
      <c r="B6" s="6">
        <f t="shared" si="0"/>
        <v>1987</v>
      </c>
      <c r="C6" s="9">
        <v>32203</v>
      </c>
      <c r="D6" s="29">
        <v>47.201999999999998</v>
      </c>
      <c r="E6" s="29">
        <v>48.323999999999998</v>
      </c>
      <c r="F6" s="29">
        <v>27.433</v>
      </c>
      <c r="G6" s="29">
        <v>194.76</v>
      </c>
      <c r="H6" s="29">
        <v>38.993000000000002</v>
      </c>
      <c r="I6" s="29">
        <v>69.179000000000002</v>
      </c>
      <c r="J6" s="29">
        <v>38.192</v>
      </c>
      <c r="K6" s="29">
        <v>40.558999999999997</v>
      </c>
      <c r="L6" s="29">
        <v>96.968000000000004</v>
      </c>
      <c r="M6" s="29">
        <v>73.58</v>
      </c>
      <c r="N6" s="29">
        <v>12.349</v>
      </c>
      <c r="O6" s="29">
        <v>33.115000000000002</v>
      </c>
      <c r="P6" s="29">
        <v>46.107999999999997</v>
      </c>
      <c r="Q6" s="29">
        <v>31.183</v>
      </c>
      <c r="R6" s="29">
        <v>29.029</v>
      </c>
    </row>
    <row r="7" spans="1:18" x14ac:dyDescent="0.2">
      <c r="A7" s="8">
        <v>198804</v>
      </c>
      <c r="B7" s="6">
        <f t="shared" si="0"/>
        <v>1988</v>
      </c>
      <c r="C7" s="9">
        <v>32234</v>
      </c>
      <c r="D7" s="29">
        <v>47.801000000000002</v>
      </c>
      <c r="E7" s="29">
        <v>48.591999999999999</v>
      </c>
      <c r="F7" s="29">
        <v>27.824000000000002</v>
      </c>
      <c r="G7" s="29">
        <v>195.12799999999999</v>
      </c>
      <c r="H7" s="29">
        <v>39.762999999999998</v>
      </c>
      <c r="I7" s="29">
        <v>69.501999999999995</v>
      </c>
      <c r="J7" s="29">
        <v>38.384999999999998</v>
      </c>
      <c r="K7" s="29">
        <v>41.075000000000003</v>
      </c>
      <c r="L7" s="29">
        <v>96.965999999999994</v>
      </c>
      <c r="M7" s="29">
        <v>74.924000000000007</v>
      </c>
      <c r="N7" s="29">
        <v>12.36</v>
      </c>
      <c r="O7" s="29">
        <v>33.526000000000003</v>
      </c>
      <c r="P7" s="29">
        <v>46.369</v>
      </c>
      <c r="Q7" s="29">
        <v>32.914999999999999</v>
      </c>
      <c r="R7" s="29">
        <v>29.387</v>
      </c>
    </row>
    <row r="8" spans="1:18" x14ac:dyDescent="0.2">
      <c r="A8" s="8">
        <v>198805</v>
      </c>
      <c r="B8" s="6">
        <f t="shared" si="0"/>
        <v>1988</v>
      </c>
      <c r="C8" s="9">
        <v>32264</v>
      </c>
      <c r="D8" s="29">
        <v>48.043999999999997</v>
      </c>
      <c r="E8" s="29">
        <v>48.713999999999999</v>
      </c>
      <c r="F8" s="29">
        <v>27.931000000000001</v>
      </c>
      <c r="G8" s="29">
        <v>197.851</v>
      </c>
      <c r="H8" s="29">
        <v>40.011000000000003</v>
      </c>
      <c r="I8" s="29">
        <v>69.834000000000003</v>
      </c>
      <c r="J8" s="29">
        <v>38.512999999999998</v>
      </c>
      <c r="K8" s="29">
        <v>41.216999999999999</v>
      </c>
      <c r="L8" s="29">
        <v>96.957999999999998</v>
      </c>
      <c r="M8" s="29">
        <v>75.22</v>
      </c>
      <c r="N8" s="29">
        <v>12.365</v>
      </c>
      <c r="O8" s="29">
        <v>33.67</v>
      </c>
      <c r="P8" s="29">
        <v>46.537999999999997</v>
      </c>
      <c r="Q8" s="29">
        <v>32.975000000000001</v>
      </c>
      <c r="R8" s="29">
        <v>29.818999999999999</v>
      </c>
    </row>
    <row r="9" spans="1:18" x14ac:dyDescent="0.2">
      <c r="A9" s="8">
        <v>198806</v>
      </c>
      <c r="B9" s="6">
        <f t="shared" si="0"/>
        <v>1988</v>
      </c>
      <c r="C9" s="9">
        <v>32295</v>
      </c>
      <c r="D9" s="29">
        <v>48.21</v>
      </c>
      <c r="E9" s="29">
        <v>48.792999999999999</v>
      </c>
      <c r="F9" s="29">
        <v>27.942</v>
      </c>
      <c r="G9" s="29">
        <v>198.489</v>
      </c>
      <c r="H9" s="29">
        <v>40.179000000000002</v>
      </c>
      <c r="I9" s="29">
        <v>69.986999999999995</v>
      </c>
      <c r="J9" s="29">
        <v>38.607999999999997</v>
      </c>
      <c r="K9" s="29">
        <v>41.582000000000001</v>
      </c>
      <c r="L9" s="29">
        <v>96.947999999999993</v>
      </c>
      <c r="M9" s="29">
        <v>75.162000000000006</v>
      </c>
      <c r="N9" s="29">
        <v>12.377000000000001</v>
      </c>
      <c r="O9" s="29">
        <v>33.784999999999997</v>
      </c>
      <c r="P9" s="29">
        <v>46.703000000000003</v>
      </c>
      <c r="Q9" s="29">
        <v>33.136000000000003</v>
      </c>
      <c r="R9" s="29">
        <v>30.338000000000001</v>
      </c>
    </row>
    <row r="10" spans="1:18" x14ac:dyDescent="0.2">
      <c r="A10" s="8">
        <v>198807</v>
      </c>
      <c r="B10" s="6">
        <f t="shared" si="0"/>
        <v>1988</v>
      </c>
      <c r="C10" s="9">
        <v>32325</v>
      </c>
      <c r="D10" s="29">
        <v>48.232999999999997</v>
      </c>
      <c r="E10" s="29">
        <v>48.354999999999997</v>
      </c>
      <c r="F10" s="29">
        <v>27.940999999999999</v>
      </c>
      <c r="G10" s="29">
        <v>195.09200000000001</v>
      </c>
      <c r="H10" s="29">
        <v>40.350999999999999</v>
      </c>
      <c r="I10" s="29">
        <v>69.900000000000006</v>
      </c>
      <c r="J10" s="29">
        <v>38.683</v>
      </c>
      <c r="K10" s="29">
        <v>41.829000000000001</v>
      </c>
      <c r="L10" s="29">
        <v>96.938000000000002</v>
      </c>
      <c r="M10" s="29">
        <v>75.262</v>
      </c>
      <c r="N10" s="29">
        <v>12.375</v>
      </c>
      <c r="O10" s="29">
        <v>33.887</v>
      </c>
      <c r="P10" s="29">
        <v>47.195</v>
      </c>
      <c r="Q10" s="29">
        <v>33.238</v>
      </c>
      <c r="R10" s="29">
        <v>30.67</v>
      </c>
    </row>
    <row r="11" spans="1:18" x14ac:dyDescent="0.2">
      <c r="A11" s="8">
        <v>198808</v>
      </c>
      <c r="B11" s="6">
        <f t="shared" si="0"/>
        <v>1988</v>
      </c>
      <c r="C11" s="9">
        <v>32356</v>
      </c>
      <c r="D11" s="29">
        <v>48.491</v>
      </c>
      <c r="E11" s="29">
        <v>48.582999999999998</v>
      </c>
      <c r="F11" s="29">
        <v>27.968</v>
      </c>
      <c r="G11" s="29">
        <v>195.298</v>
      </c>
      <c r="H11" s="29">
        <v>40.694000000000003</v>
      </c>
      <c r="I11" s="29">
        <v>70.210999999999999</v>
      </c>
      <c r="J11" s="29">
        <v>38.918999999999997</v>
      </c>
      <c r="K11" s="29">
        <v>41.994999999999997</v>
      </c>
      <c r="L11" s="29">
        <v>96.921000000000006</v>
      </c>
      <c r="M11" s="29">
        <v>75.438999999999993</v>
      </c>
      <c r="N11" s="29">
        <v>12.391999999999999</v>
      </c>
      <c r="O11" s="29">
        <v>34.116</v>
      </c>
      <c r="P11" s="29">
        <v>47.408000000000001</v>
      </c>
      <c r="Q11" s="29">
        <v>33.220999999999997</v>
      </c>
      <c r="R11" s="29">
        <v>30.617000000000001</v>
      </c>
    </row>
    <row r="12" spans="1:18" x14ac:dyDescent="0.2">
      <c r="A12" s="8">
        <v>198809</v>
      </c>
      <c r="B12" s="6">
        <f t="shared" si="0"/>
        <v>1988</v>
      </c>
      <c r="C12" s="9">
        <v>32387</v>
      </c>
      <c r="D12" s="29">
        <v>48.716000000000001</v>
      </c>
      <c r="E12" s="29">
        <v>48.765000000000001</v>
      </c>
      <c r="F12" s="29">
        <v>28.015999999999998</v>
      </c>
      <c r="G12" s="29">
        <v>198.023</v>
      </c>
      <c r="H12" s="29">
        <v>40.83</v>
      </c>
      <c r="I12" s="29">
        <v>70.751999999999995</v>
      </c>
      <c r="J12" s="29">
        <v>39.014000000000003</v>
      </c>
      <c r="K12" s="29">
        <v>42.106999999999999</v>
      </c>
      <c r="L12" s="29">
        <v>97.644999999999996</v>
      </c>
      <c r="M12" s="29">
        <v>75.385999999999996</v>
      </c>
      <c r="N12" s="29">
        <v>13.117000000000001</v>
      </c>
      <c r="O12" s="29">
        <v>34.359000000000002</v>
      </c>
      <c r="P12" s="29">
        <v>47.56</v>
      </c>
      <c r="Q12" s="29">
        <v>33.293999999999997</v>
      </c>
      <c r="R12" s="29">
        <v>30.707999999999998</v>
      </c>
    </row>
    <row r="13" spans="1:18" x14ac:dyDescent="0.2">
      <c r="A13" s="8">
        <v>198810</v>
      </c>
      <c r="B13" s="6">
        <f t="shared" si="0"/>
        <v>1988</v>
      </c>
      <c r="C13" s="9">
        <v>32417</v>
      </c>
      <c r="D13" s="29">
        <v>49.045000000000002</v>
      </c>
      <c r="E13" s="29">
        <v>48.838000000000001</v>
      </c>
      <c r="F13" s="29">
        <v>28.114999999999998</v>
      </c>
      <c r="G13" s="29">
        <v>201.946</v>
      </c>
      <c r="H13" s="29">
        <v>41.28</v>
      </c>
      <c r="I13" s="29">
        <v>70.941999999999993</v>
      </c>
      <c r="J13" s="29">
        <v>39.268999999999998</v>
      </c>
      <c r="K13" s="29">
        <v>42.203000000000003</v>
      </c>
      <c r="L13" s="29">
        <v>97.620999999999995</v>
      </c>
      <c r="M13" s="29">
        <v>75.67</v>
      </c>
      <c r="N13" s="29">
        <v>13.125999999999999</v>
      </c>
      <c r="O13" s="29">
        <v>34.555</v>
      </c>
      <c r="P13" s="29">
        <v>47.719000000000001</v>
      </c>
      <c r="Q13" s="29">
        <v>33.587000000000003</v>
      </c>
      <c r="R13" s="29">
        <v>30.744</v>
      </c>
    </row>
    <row r="14" spans="1:18" x14ac:dyDescent="0.2">
      <c r="A14" s="8">
        <v>198811</v>
      </c>
      <c r="B14" s="6">
        <f t="shared" si="0"/>
        <v>1988</v>
      </c>
      <c r="C14" s="9">
        <v>32448</v>
      </c>
      <c r="D14" s="29">
        <v>49.307000000000002</v>
      </c>
      <c r="E14" s="29">
        <v>49.204999999999998</v>
      </c>
      <c r="F14" s="29">
        <v>28.146000000000001</v>
      </c>
      <c r="G14" s="29">
        <v>203.15899999999999</v>
      </c>
      <c r="H14" s="29">
        <v>41.616</v>
      </c>
      <c r="I14" s="29">
        <v>71.256</v>
      </c>
      <c r="J14" s="29">
        <v>39.468000000000004</v>
      </c>
      <c r="K14" s="29">
        <v>42.183999999999997</v>
      </c>
      <c r="L14" s="29">
        <v>97.625</v>
      </c>
      <c r="M14" s="29">
        <v>75.813999999999993</v>
      </c>
      <c r="N14" s="29">
        <v>13.167999999999999</v>
      </c>
      <c r="O14" s="29">
        <v>34.715000000000003</v>
      </c>
      <c r="P14" s="29">
        <v>48.13</v>
      </c>
      <c r="Q14" s="29">
        <v>33.668999999999997</v>
      </c>
      <c r="R14" s="29">
        <v>30.783000000000001</v>
      </c>
    </row>
    <row r="15" spans="1:18" x14ac:dyDescent="0.2">
      <c r="A15" s="8">
        <v>198812</v>
      </c>
      <c r="B15" s="6">
        <f t="shared" si="0"/>
        <v>1988</v>
      </c>
      <c r="C15" s="9">
        <v>32478</v>
      </c>
      <c r="D15" s="29">
        <v>49.337000000000003</v>
      </c>
      <c r="E15" s="29">
        <v>49.545000000000002</v>
      </c>
      <c r="F15" s="29">
        <v>28.062000000000001</v>
      </c>
      <c r="G15" s="29">
        <v>203.86799999999999</v>
      </c>
      <c r="H15" s="29">
        <v>41.555</v>
      </c>
      <c r="I15" s="29">
        <v>71.302999999999997</v>
      </c>
      <c r="J15" s="29">
        <v>39.488</v>
      </c>
      <c r="K15" s="29">
        <v>42.075000000000003</v>
      </c>
      <c r="L15" s="29">
        <v>97.626999999999995</v>
      </c>
      <c r="M15" s="29">
        <v>75.863</v>
      </c>
      <c r="N15" s="29">
        <v>13.17</v>
      </c>
      <c r="O15" s="29">
        <v>34.793999999999997</v>
      </c>
      <c r="P15" s="29">
        <v>48.237000000000002</v>
      </c>
      <c r="Q15" s="29">
        <v>33.545000000000002</v>
      </c>
      <c r="R15" s="29">
        <v>30.843</v>
      </c>
    </row>
    <row r="16" spans="1:18" x14ac:dyDescent="0.2">
      <c r="A16" s="8">
        <v>198901</v>
      </c>
      <c r="B16" s="6">
        <f t="shared" si="0"/>
        <v>1988</v>
      </c>
      <c r="C16" s="9">
        <v>32509</v>
      </c>
      <c r="D16" s="29">
        <v>49.53</v>
      </c>
      <c r="E16" s="29">
        <v>49.966999999999999</v>
      </c>
      <c r="F16" s="29">
        <v>28.35</v>
      </c>
      <c r="G16" s="29">
        <v>199.56299999999999</v>
      </c>
      <c r="H16" s="29">
        <v>41.771999999999998</v>
      </c>
      <c r="I16" s="29">
        <v>70.921000000000006</v>
      </c>
      <c r="J16" s="29">
        <v>40.441000000000003</v>
      </c>
      <c r="K16" s="29">
        <v>42.393999999999998</v>
      </c>
      <c r="L16" s="29">
        <v>97.581000000000003</v>
      </c>
      <c r="M16" s="29">
        <v>75.968999999999994</v>
      </c>
      <c r="N16" s="29">
        <v>13.212</v>
      </c>
      <c r="O16" s="29">
        <v>34.981000000000002</v>
      </c>
      <c r="P16" s="29">
        <v>48.9</v>
      </c>
      <c r="Q16" s="29">
        <v>33.67</v>
      </c>
      <c r="R16" s="29">
        <v>30.864999999999998</v>
      </c>
    </row>
    <row r="17" spans="1:18" x14ac:dyDescent="0.2">
      <c r="A17" s="8">
        <v>198902</v>
      </c>
      <c r="B17" s="6">
        <f t="shared" si="0"/>
        <v>1988</v>
      </c>
      <c r="C17" s="9">
        <v>32540</v>
      </c>
      <c r="D17" s="29">
        <v>49.738</v>
      </c>
      <c r="E17" s="29">
        <v>50.106000000000002</v>
      </c>
      <c r="F17" s="29">
        <v>28.497</v>
      </c>
      <c r="G17" s="29">
        <v>201.47900000000001</v>
      </c>
      <c r="H17" s="29">
        <v>41.938000000000002</v>
      </c>
      <c r="I17" s="29">
        <v>71.289000000000001</v>
      </c>
      <c r="J17" s="29">
        <v>40.698</v>
      </c>
      <c r="K17" s="29">
        <v>42.558999999999997</v>
      </c>
      <c r="L17" s="29">
        <v>97.543999999999997</v>
      </c>
      <c r="M17" s="29">
        <v>76.212999999999994</v>
      </c>
      <c r="N17" s="29">
        <v>13.221</v>
      </c>
      <c r="O17" s="29">
        <v>35.081000000000003</v>
      </c>
      <c r="P17" s="29">
        <v>49.264000000000003</v>
      </c>
      <c r="Q17" s="29">
        <v>33.694000000000003</v>
      </c>
      <c r="R17" s="29">
        <v>30.853999999999999</v>
      </c>
    </row>
    <row r="18" spans="1:18" x14ac:dyDescent="0.2">
      <c r="A18" s="8">
        <v>198903</v>
      </c>
      <c r="B18" s="6">
        <f t="shared" si="0"/>
        <v>1988</v>
      </c>
      <c r="C18" s="9">
        <v>32568</v>
      </c>
      <c r="D18" s="29">
        <v>50.003</v>
      </c>
      <c r="E18" s="29">
        <v>50.371000000000002</v>
      </c>
      <c r="F18" s="29">
        <v>28.55</v>
      </c>
      <c r="G18" s="29">
        <v>202.24700000000001</v>
      </c>
      <c r="H18" s="29">
        <v>42.250999999999998</v>
      </c>
      <c r="I18" s="29">
        <v>71.665000000000006</v>
      </c>
      <c r="J18" s="29">
        <v>40.741999999999997</v>
      </c>
      <c r="K18" s="29">
        <v>42.869</v>
      </c>
      <c r="L18" s="29">
        <v>97.567999999999998</v>
      </c>
      <c r="M18" s="29">
        <v>76.311000000000007</v>
      </c>
      <c r="N18" s="29">
        <v>13.22</v>
      </c>
      <c r="O18" s="29">
        <v>35.228000000000002</v>
      </c>
      <c r="P18" s="29">
        <v>49.353999999999999</v>
      </c>
      <c r="Q18" s="29">
        <v>33.726999999999997</v>
      </c>
      <c r="R18" s="29">
        <v>30.908000000000001</v>
      </c>
    </row>
    <row r="19" spans="1:18" x14ac:dyDescent="0.2">
      <c r="A19" s="8">
        <v>198904</v>
      </c>
      <c r="B19" s="6">
        <f t="shared" si="0"/>
        <v>1989</v>
      </c>
      <c r="C19" s="9">
        <v>32599</v>
      </c>
      <c r="D19" s="29">
        <v>50.497</v>
      </c>
      <c r="E19" s="29">
        <v>50.963999999999999</v>
      </c>
      <c r="F19" s="29">
        <v>28.666</v>
      </c>
      <c r="G19" s="29">
        <v>205.84399999999999</v>
      </c>
      <c r="H19" s="29">
        <v>42.600999999999999</v>
      </c>
      <c r="I19" s="29">
        <v>72.042000000000002</v>
      </c>
      <c r="J19" s="29">
        <v>41.33</v>
      </c>
      <c r="K19" s="29">
        <v>43.695</v>
      </c>
      <c r="L19" s="29">
        <v>97.629000000000005</v>
      </c>
      <c r="M19" s="29">
        <v>76.819000000000003</v>
      </c>
      <c r="N19" s="29">
        <v>13.227</v>
      </c>
      <c r="O19" s="29">
        <v>35.418999999999997</v>
      </c>
      <c r="P19" s="29">
        <v>49.895000000000003</v>
      </c>
      <c r="Q19" s="29">
        <v>35.981000000000002</v>
      </c>
      <c r="R19" s="29">
        <v>31.23</v>
      </c>
    </row>
    <row r="20" spans="1:18" x14ac:dyDescent="0.2">
      <c r="A20" s="8">
        <v>198905</v>
      </c>
      <c r="B20" s="6">
        <f t="shared" si="0"/>
        <v>1989</v>
      </c>
      <c r="C20" s="9">
        <v>32629</v>
      </c>
      <c r="D20" s="29">
        <v>50.866</v>
      </c>
      <c r="E20" s="29">
        <v>51.279000000000003</v>
      </c>
      <c r="F20" s="29">
        <v>28.716999999999999</v>
      </c>
      <c r="G20" s="29">
        <v>207.13200000000001</v>
      </c>
      <c r="H20" s="29">
        <v>43.024999999999999</v>
      </c>
      <c r="I20" s="29">
        <v>72.347999999999999</v>
      </c>
      <c r="J20" s="29">
        <v>41.64</v>
      </c>
      <c r="K20" s="29">
        <v>44.125</v>
      </c>
      <c r="L20" s="29">
        <v>97.593999999999994</v>
      </c>
      <c r="M20" s="29">
        <v>77.471000000000004</v>
      </c>
      <c r="N20" s="29">
        <v>13.262</v>
      </c>
      <c r="O20" s="29">
        <v>35.572000000000003</v>
      </c>
      <c r="P20" s="29">
        <v>50.036999999999999</v>
      </c>
      <c r="Q20" s="29">
        <v>36.052</v>
      </c>
      <c r="R20" s="29">
        <v>31.501000000000001</v>
      </c>
    </row>
    <row r="21" spans="1:18" x14ac:dyDescent="0.2">
      <c r="A21" s="8">
        <v>198906</v>
      </c>
      <c r="B21" s="6">
        <f t="shared" si="0"/>
        <v>1989</v>
      </c>
      <c r="C21" s="9">
        <v>32660</v>
      </c>
      <c r="D21" s="29">
        <v>51.006999999999998</v>
      </c>
      <c r="E21" s="29">
        <v>51.442999999999998</v>
      </c>
      <c r="F21" s="29">
        <v>28.757000000000001</v>
      </c>
      <c r="G21" s="29">
        <v>207.524</v>
      </c>
      <c r="H21" s="29">
        <v>43.152999999999999</v>
      </c>
      <c r="I21" s="29">
        <v>72.465999999999994</v>
      </c>
      <c r="J21" s="29">
        <v>41.863999999999997</v>
      </c>
      <c r="K21" s="29">
        <v>44.32</v>
      </c>
      <c r="L21" s="29">
        <v>97.546000000000006</v>
      </c>
      <c r="M21" s="29">
        <v>77.602000000000004</v>
      </c>
      <c r="N21" s="29">
        <v>13.294</v>
      </c>
      <c r="O21" s="29">
        <v>35.709000000000003</v>
      </c>
      <c r="P21" s="29">
        <v>50.03</v>
      </c>
      <c r="Q21" s="29">
        <v>36.173000000000002</v>
      </c>
      <c r="R21" s="29">
        <v>31.832000000000001</v>
      </c>
    </row>
    <row r="22" spans="1:18" x14ac:dyDescent="0.2">
      <c r="A22" s="8">
        <v>198907</v>
      </c>
      <c r="B22" s="6">
        <f t="shared" si="0"/>
        <v>1989</v>
      </c>
      <c r="C22" s="9">
        <v>32690</v>
      </c>
      <c r="D22" s="29">
        <v>50.996000000000002</v>
      </c>
      <c r="E22" s="29">
        <v>51.133000000000003</v>
      </c>
      <c r="F22" s="29">
        <v>28.776</v>
      </c>
      <c r="G22" s="29">
        <v>203.48400000000001</v>
      </c>
      <c r="H22" s="29">
        <v>43.284999999999997</v>
      </c>
      <c r="I22" s="29">
        <v>72.370999999999995</v>
      </c>
      <c r="J22" s="29">
        <v>41.969000000000001</v>
      </c>
      <c r="K22" s="29">
        <v>44.290999999999997</v>
      </c>
      <c r="L22" s="29">
        <v>97.486000000000004</v>
      </c>
      <c r="M22" s="29">
        <v>77.899000000000001</v>
      </c>
      <c r="N22" s="29">
        <v>13.318</v>
      </c>
      <c r="O22" s="29">
        <v>35.918999999999997</v>
      </c>
      <c r="P22" s="29">
        <v>50.232999999999997</v>
      </c>
      <c r="Q22" s="29">
        <v>36.225000000000001</v>
      </c>
      <c r="R22" s="29">
        <v>32.079000000000001</v>
      </c>
    </row>
    <row r="23" spans="1:18" x14ac:dyDescent="0.2">
      <c r="A23" s="8">
        <v>198908</v>
      </c>
      <c r="B23" s="6">
        <f t="shared" si="0"/>
        <v>1989</v>
      </c>
      <c r="C23" s="9">
        <v>32721</v>
      </c>
      <c r="D23" s="29">
        <v>51.139000000000003</v>
      </c>
      <c r="E23" s="29">
        <v>51.328000000000003</v>
      </c>
      <c r="F23" s="29">
        <v>28.795999999999999</v>
      </c>
      <c r="G23" s="29">
        <v>203.512</v>
      </c>
      <c r="H23" s="29">
        <v>43.509</v>
      </c>
      <c r="I23" s="29">
        <v>72.662000000000006</v>
      </c>
      <c r="J23" s="29">
        <v>42.262999999999998</v>
      </c>
      <c r="K23" s="29">
        <v>44.003999999999998</v>
      </c>
      <c r="L23" s="29">
        <v>97.522999999999996</v>
      </c>
      <c r="M23" s="29">
        <v>77.978999999999999</v>
      </c>
      <c r="N23" s="29">
        <v>13.348000000000001</v>
      </c>
      <c r="O23" s="29">
        <v>36.244</v>
      </c>
      <c r="P23" s="29">
        <v>50.308</v>
      </c>
      <c r="Q23" s="29">
        <v>36.274000000000001</v>
      </c>
      <c r="R23" s="29">
        <v>32.182000000000002</v>
      </c>
    </row>
    <row r="24" spans="1:18" x14ac:dyDescent="0.2">
      <c r="A24" s="8">
        <v>198909</v>
      </c>
      <c r="B24" s="6">
        <f t="shared" si="0"/>
        <v>1989</v>
      </c>
      <c r="C24" s="9">
        <v>32752</v>
      </c>
      <c r="D24" s="29">
        <v>51.51</v>
      </c>
      <c r="E24" s="29">
        <v>51.704000000000001</v>
      </c>
      <c r="F24" s="29">
        <v>28.940999999999999</v>
      </c>
      <c r="G24" s="29">
        <v>207.691</v>
      </c>
      <c r="H24" s="29">
        <v>43.823999999999998</v>
      </c>
      <c r="I24" s="29">
        <v>72.988</v>
      </c>
      <c r="J24" s="29">
        <v>42.277999999999999</v>
      </c>
      <c r="K24" s="29">
        <v>44.17</v>
      </c>
      <c r="L24" s="29">
        <v>99.412000000000006</v>
      </c>
      <c r="M24" s="29">
        <v>78.191000000000003</v>
      </c>
      <c r="N24" s="29">
        <v>13.917999999999999</v>
      </c>
      <c r="O24" s="29">
        <v>36.475999999999999</v>
      </c>
      <c r="P24" s="29">
        <v>50.435000000000002</v>
      </c>
      <c r="Q24" s="29">
        <v>36.341999999999999</v>
      </c>
      <c r="R24" s="29">
        <v>32.280999999999999</v>
      </c>
    </row>
    <row r="25" spans="1:18" x14ac:dyDescent="0.2">
      <c r="A25" s="8">
        <v>198910</v>
      </c>
      <c r="B25" s="6">
        <f t="shared" si="0"/>
        <v>1989</v>
      </c>
      <c r="C25" s="9">
        <v>32782</v>
      </c>
      <c r="D25" s="29">
        <v>51.9</v>
      </c>
      <c r="E25" s="29">
        <v>52.259</v>
      </c>
      <c r="F25" s="29">
        <v>29.195</v>
      </c>
      <c r="G25" s="29">
        <v>210.21799999999999</v>
      </c>
      <c r="H25" s="29">
        <v>44.15</v>
      </c>
      <c r="I25" s="29">
        <v>73.418000000000006</v>
      </c>
      <c r="J25" s="29">
        <v>42.517000000000003</v>
      </c>
      <c r="K25" s="29">
        <v>44.293999999999997</v>
      </c>
      <c r="L25" s="29">
        <v>100.877</v>
      </c>
      <c r="M25" s="29">
        <v>78.653000000000006</v>
      </c>
      <c r="N25" s="29">
        <v>13.933</v>
      </c>
      <c r="O25" s="29">
        <v>36.777000000000001</v>
      </c>
      <c r="P25" s="29">
        <v>50.691000000000003</v>
      </c>
      <c r="Q25" s="29">
        <v>36.625999999999998</v>
      </c>
      <c r="R25" s="29">
        <v>32.408999999999999</v>
      </c>
    </row>
    <row r="26" spans="1:18" x14ac:dyDescent="0.2">
      <c r="A26" s="8">
        <v>198911</v>
      </c>
      <c r="B26" s="6">
        <f t="shared" si="0"/>
        <v>1989</v>
      </c>
      <c r="C26" s="9">
        <v>32813</v>
      </c>
      <c r="D26" s="29">
        <v>52.093000000000004</v>
      </c>
      <c r="E26" s="29">
        <v>52.777000000000001</v>
      </c>
      <c r="F26" s="29">
        <v>29.167999999999999</v>
      </c>
      <c r="G26" s="29">
        <v>211.51900000000001</v>
      </c>
      <c r="H26" s="29">
        <v>44.262</v>
      </c>
      <c r="I26" s="29">
        <v>73.7</v>
      </c>
      <c r="J26" s="29">
        <v>42.637</v>
      </c>
      <c r="K26" s="29">
        <v>44.143000000000001</v>
      </c>
      <c r="L26" s="29">
        <v>101.63</v>
      </c>
      <c r="M26" s="29">
        <v>79.319999999999993</v>
      </c>
      <c r="N26" s="29">
        <v>14.02</v>
      </c>
      <c r="O26" s="29">
        <v>36.905000000000001</v>
      </c>
      <c r="P26" s="29">
        <v>51.015999999999998</v>
      </c>
      <c r="Q26" s="29">
        <v>36.698999999999998</v>
      </c>
      <c r="R26" s="29">
        <v>32.552</v>
      </c>
    </row>
    <row r="27" spans="1:18" x14ac:dyDescent="0.2">
      <c r="A27" s="8">
        <v>198912</v>
      </c>
      <c r="B27" s="6">
        <f t="shared" si="0"/>
        <v>1989</v>
      </c>
      <c r="C27" s="9">
        <v>32843</v>
      </c>
      <c r="D27" s="29">
        <v>52.183</v>
      </c>
      <c r="E27" s="29">
        <v>53.232999999999997</v>
      </c>
      <c r="F27" s="29">
        <v>29.059000000000001</v>
      </c>
      <c r="G27" s="29">
        <v>211.36199999999999</v>
      </c>
      <c r="H27" s="29">
        <v>44.390999999999998</v>
      </c>
      <c r="I27" s="29">
        <v>73.846000000000004</v>
      </c>
      <c r="J27" s="29">
        <v>42.639000000000003</v>
      </c>
      <c r="K27" s="29">
        <v>43.774000000000001</v>
      </c>
      <c r="L27" s="29">
        <v>101.79</v>
      </c>
      <c r="M27" s="29">
        <v>79.409000000000006</v>
      </c>
      <c r="N27" s="29">
        <v>14.067</v>
      </c>
      <c r="O27" s="29">
        <v>37.070999999999998</v>
      </c>
      <c r="P27" s="29">
        <v>51.194000000000003</v>
      </c>
      <c r="Q27" s="29">
        <v>36.756999999999998</v>
      </c>
      <c r="R27" s="29">
        <v>32.654000000000003</v>
      </c>
    </row>
    <row r="28" spans="1:18" x14ac:dyDescent="0.2">
      <c r="A28" s="8">
        <v>199001</v>
      </c>
      <c r="B28" s="6">
        <f t="shared" si="0"/>
        <v>1989</v>
      </c>
      <c r="C28" s="9">
        <v>32874</v>
      </c>
      <c r="D28" s="29">
        <v>52.448</v>
      </c>
      <c r="E28" s="29">
        <v>53.957999999999998</v>
      </c>
      <c r="F28" s="29">
        <v>29.254999999999999</v>
      </c>
      <c r="G28" s="29">
        <v>206.82400000000001</v>
      </c>
      <c r="H28" s="29">
        <v>44.680999999999997</v>
      </c>
      <c r="I28" s="29">
        <v>73.673000000000002</v>
      </c>
      <c r="J28" s="29">
        <v>43.68</v>
      </c>
      <c r="K28" s="29">
        <v>44.082000000000001</v>
      </c>
      <c r="L28" s="29">
        <v>101.857</v>
      </c>
      <c r="M28" s="29">
        <v>79.718000000000004</v>
      </c>
      <c r="N28" s="29">
        <v>14.228999999999999</v>
      </c>
      <c r="O28" s="29">
        <v>37.322000000000003</v>
      </c>
      <c r="P28" s="29">
        <v>51.48</v>
      </c>
      <c r="Q28" s="29">
        <v>36.921999999999997</v>
      </c>
      <c r="R28" s="29">
        <v>32.825000000000003</v>
      </c>
    </row>
    <row r="29" spans="1:18" x14ac:dyDescent="0.2">
      <c r="A29" s="8">
        <v>199002</v>
      </c>
      <c r="B29" s="6">
        <f t="shared" si="0"/>
        <v>1989</v>
      </c>
      <c r="C29" s="9">
        <v>32905</v>
      </c>
      <c r="D29" s="29">
        <v>52.863999999999997</v>
      </c>
      <c r="E29" s="29">
        <v>54.445999999999998</v>
      </c>
      <c r="F29" s="29">
        <v>29.428000000000001</v>
      </c>
      <c r="G29" s="29">
        <v>209.13</v>
      </c>
      <c r="H29" s="29">
        <v>45.137999999999998</v>
      </c>
      <c r="I29" s="29">
        <v>74.150999999999996</v>
      </c>
      <c r="J29" s="29">
        <v>43.74</v>
      </c>
      <c r="K29" s="29">
        <v>44.438000000000002</v>
      </c>
      <c r="L29" s="29">
        <v>102.08799999999999</v>
      </c>
      <c r="M29" s="29">
        <v>79.971999999999994</v>
      </c>
      <c r="N29" s="29">
        <v>14.311</v>
      </c>
      <c r="O29" s="29">
        <v>37.475000000000001</v>
      </c>
      <c r="P29" s="29">
        <v>51.793999999999997</v>
      </c>
      <c r="Q29" s="29">
        <v>36.962000000000003</v>
      </c>
      <c r="R29" s="29">
        <v>32.659999999999997</v>
      </c>
    </row>
    <row r="30" spans="1:18" x14ac:dyDescent="0.2">
      <c r="A30" s="8">
        <v>199003</v>
      </c>
      <c r="B30" s="6">
        <f t="shared" si="0"/>
        <v>1989</v>
      </c>
      <c r="C30" s="9">
        <v>32933</v>
      </c>
      <c r="D30" s="29">
        <v>53.085000000000001</v>
      </c>
      <c r="E30" s="29">
        <v>54.74</v>
      </c>
      <c r="F30" s="29">
        <v>29.536999999999999</v>
      </c>
      <c r="G30" s="29">
        <v>210.52799999999999</v>
      </c>
      <c r="H30" s="29">
        <v>45.228000000000002</v>
      </c>
      <c r="I30" s="29">
        <v>74.893000000000001</v>
      </c>
      <c r="J30" s="29">
        <v>44.231999999999999</v>
      </c>
      <c r="K30" s="29">
        <v>44.677999999999997</v>
      </c>
      <c r="L30" s="29">
        <v>102.011</v>
      </c>
      <c r="M30" s="29">
        <v>80.209000000000003</v>
      </c>
      <c r="N30" s="29">
        <v>14.314</v>
      </c>
      <c r="O30" s="29">
        <v>37.640999999999998</v>
      </c>
      <c r="P30" s="29">
        <v>52.052999999999997</v>
      </c>
      <c r="Q30" s="29">
        <v>37.014000000000003</v>
      </c>
      <c r="R30" s="29">
        <v>32.747999999999998</v>
      </c>
    </row>
    <row r="31" spans="1:18" x14ac:dyDescent="0.2">
      <c r="A31" s="8">
        <v>199004</v>
      </c>
      <c r="B31" s="6">
        <f t="shared" si="0"/>
        <v>1990</v>
      </c>
      <c r="C31" s="9">
        <v>32964</v>
      </c>
      <c r="D31" s="29">
        <v>54.404000000000003</v>
      </c>
      <c r="E31" s="29">
        <v>55.241999999999997</v>
      </c>
      <c r="F31" s="29">
        <v>30.515999999999998</v>
      </c>
      <c r="G31" s="29">
        <v>213.77799999999999</v>
      </c>
      <c r="H31" s="29">
        <v>47.274999999999999</v>
      </c>
      <c r="I31" s="29">
        <v>75.244</v>
      </c>
      <c r="J31" s="29">
        <v>44.594999999999999</v>
      </c>
      <c r="K31" s="29">
        <v>45.707999999999998</v>
      </c>
      <c r="L31" s="29">
        <v>101.971</v>
      </c>
      <c r="M31" s="29">
        <v>81.131</v>
      </c>
      <c r="N31" s="29">
        <v>14.336</v>
      </c>
      <c r="O31" s="29">
        <v>38.521000000000001</v>
      </c>
      <c r="P31" s="29">
        <v>52.179000000000002</v>
      </c>
      <c r="Q31" s="29">
        <v>39.945</v>
      </c>
      <c r="R31" s="29">
        <v>33.213999999999999</v>
      </c>
    </row>
    <row r="32" spans="1:18" x14ac:dyDescent="0.2">
      <c r="A32" s="8">
        <v>199005</v>
      </c>
      <c r="B32" s="6">
        <f t="shared" si="0"/>
        <v>1990</v>
      </c>
      <c r="C32" s="9">
        <v>32994</v>
      </c>
      <c r="D32" s="29">
        <v>55.026000000000003</v>
      </c>
      <c r="E32" s="29">
        <v>55.911999999999999</v>
      </c>
      <c r="F32" s="29">
        <v>31.175999999999998</v>
      </c>
      <c r="G32" s="29">
        <v>214.80199999999999</v>
      </c>
      <c r="H32" s="29">
        <v>48.040999999999997</v>
      </c>
      <c r="I32" s="29">
        <v>75.786000000000001</v>
      </c>
      <c r="J32" s="29">
        <v>44.777999999999999</v>
      </c>
      <c r="K32" s="29">
        <v>45.978999999999999</v>
      </c>
      <c r="L32" s="29">
        <v>102.233</v>
      </c>
      <c r="M32" s="29">
        <v>81.587999999999994</v>
      </c>
      <c r="N32" s="29">
        <v>14.356</v>
      </c>
      <c r="O32" s="29">
        <v>38.994</v>
      </c>
      <c r="P32" s="29">
        <v>52.484000000000002</v>
      </c>
      <c r="Q32" s="29">
        <v>39.982999999999997</v>
      </c>
      <c r="R32" s="29">
        <v>33.981000000000002</v>
      </c>
    </row>
    <row r="33" spans="1:18" x14ac:dyDescent="0.2">
      <c r="A33" s="8">
        <v>199006</v>
      </c>
      <c r="B33" s="6">
        <f t="shared" si="0"/>
        <v>1990</v>
      </c>
      <c r="C33" s="9">
        <v>33025</v>
      </c>
      <c r="D33" s="29">
        <v>55.192999999999998</v>
      </c>
      <c r="E33" s="29">
        <v>55.875999999999998</v>
      </c>
      <c r="F33" s="29">
        <v>31.285</v>
      </c>
      <c r="G33" s="29">
        <v>214.547</v>
      </c>
      <c r="H33" s="29">
        <v>48.215000000000003</v>
      </c>
      <c r="I33" s="29">
        <v>75.997</v>
      </c>
      <c r="J33" s="29">
        <v>45.018000000000001</v>
      </c>
      <c r="K33" s="29">
        <v>46.27</v>
      </c>
      <c r="L33" s="29">
        <v>102.312</v>
      </c>
      <c r="M33" s="29">
        <v>81.7</v>
      </c>
      <c r="N33" s="29">
        <v>14.494999999999999</v>
      </c>
      <c r="O33" s="29">
        <v>39.215000000000003</v>
      </c>
      <c r="P33" s="29">
        <v>52.704999999999998</v>
      </c>
      <c r="Q33" s="29">
        <v>40.162999999999997</v>
      </c>
      <c r="R33" s="29">
        <v>34.475000000000001</v>
      </c>
    </row>
    <row r="34" spans="1:18" x14ac:dyDescent="0.2">
      <c r="A34" s="8">
        <v>199007</v>
      </c>
      <c r="B34" s="6">
        <f t="shared" si="0"/>
        <v>1990</v>
      </c>
      <c r="C34" s="9">
        <v>33055</v>
      </c>
      <c r="D34" s="29">
        <v>55.183</v>
      </c>
      <c r="E34" s="29">
        <v>55.241999999999997</v>
      </c>
      <c r="F34" s="29">
        <v>31.497</v>
      </c>
      <c r="G34" s="29">
        <v>208.67099999999999</v>
      </c>
      <c r="H34" s="29">
        <v>48.503</v>
      </c>
      <c r="I34" s="29">
        <v>75.090999999999994</v>
      </c>
      <c r="J34" s="29">
        <v>45.420999999999999</v>
      </c>
      <c r="K34" s="29">
        <v>46.448</v>
      </c>
      <c r="L34" s="29">
        <v>102.31100000000001</v>
      </c>
      <c r="M34" s="29">
        <v>81.686999999999998</v>
      </c>
      <c r="N34" s="29">
        <v>14.5</v>
      </c>
      <c r="O34" s="29">
        <v>39.612000000000002</v>
      </c>
      <c r="P34" s="29">
        <v>52.89</v>
      </c>
      <c r="Q34" s="29">
        <v>40.789000000000001</v>
      </c>
      <c r="R34" s="29">
        <v>34.692999999999998</v>
      </c>
    </row>
    <row r="35" spans="1:18" x14ac:dyDescent="0.2">
      <c r="A35" s="8">
        <v>199008</v>
      </c>
      <c r="B35" s="6">
        <f t="shared" si="0"/>
        <v>1990</v>
      </c>
      <c r="C35" s="9">
        <v>33086</v>
      </c>
      <c r="D35" s="29">
        <v>55.7</v>
      </c>
      <c r="E35" s="29">
        <v>55.831000000000003</v>
      </c>
      <c r="F35" s="29">
        <v>31.437000000000001</v>
      </c>
      <c r="G35" s="29">
        <v>210.87200000000001</v>
      </c>
      <c r="H35" s="29">
        <v>48.844999999999999</v>
      </c>
      <c r="I35" s="29">
        <v>75.960999999999999</v>
      </c>
      <c r="J35" s="29">
        <v>45.691000000000003</v>
      </c>
      <c r="K35" s="29">
        <v>47.540999999999997</v>
      </c>
      <c r="L35" s="29">
        <v>102.313</v>
      </c>
      <c r="M35" s="29">
        <v>81.972999999999999</v>
      </c>
      <c r="N35" s="29">
        <v>14.587999999999999</v>
      </c>
      <c r="O35" s="29">
        <v>39.945</v>
      </c>
      <c r="P35" s="29">
        <v>53.25</v>
      </c>
      <c r="Q35" s="29">
        <v>40.892000000000003</v>
      </c>
      <c r="R35" s="29">
        <v>35.209000000000003</v>
      </c>
    </row>
    <row r="36" spans="1:18" x14ac:dyDescent="0.2">
      <c r="A36" s="8">
        <v>199009</v>
      </c>
      <c r="B36" s="6">
        <f t="shared" si="0"/>
        <v>1990</v>
      </c>
      <c r="C36" s="9">
        <v>33117</v>
      </c>
      <c r="D36" s="29">
        <v>56.228000000000002</v>
      </c>
      <c r="E36" s="29">
        <v>55.984999999999999</v>
      </c>
      <c r="F36" s="29">
        <v>31.497</v>
      </c>
      <c r="G36" s="29">
        <v>215.64500000000001</v>
      </c>
      <c r="H36" s="29">
        <v>49.116</v>
      </c>
      <c r="I36" s="29">
        <v>76.578000000000003</v>
      </c>
      <c r="J36" s="29">
        <v>46.405999999999999</v>
      </c>
      <c r="K36" s="29">
        <v>48.576999999999998</v>
      </c>
      <c r="L36" s="29">
        <v>106.315</v>
      </c>
      <c r="M36" s="29">
        <v>82.382000000000005</v>
      </c>
      <c r="N36" s="29">
        <v>15.467000000000001</v>
      </c>
      <c r="O36" s="29">
        <v>40.276000000000003</v>
      </c>
      <c r="P36" s="29">
        <v>53.534999999999997</v>
      </c>
      <c r="Q36" s="29">
        <v>40.908000000000001</v>
      </c>
      <c r="R36" s="29">
        <v>35.430999999999997</v>
      </c>
    </row>
    <row r="37" spans="1:18" x14ac:dyDescent="0.2">
      <c r="A37" s="8">
        <v>199010</v>
      </c>
      <c r="B37" s="6">
        <f t="shared" si="0"/>
        <v>1990</v>
      </c>
      <c r="C37" s="9">
        <v>33147</v>
      </c>
      <c r="D37" s="29">
        <v>56.7</v>
      </c>
      <c r="E37" s="29">
        <v>56.021999999999998</v>
      </c>
      <c r="F37" s="29">
        <v>31.741</v>
      </c>
      <c r="G37" s="29">
        <v>218.166</v>
      </c>
      <c r="H37" s="29">
        <v>49.7</v>
      </c>
      <c r="I37" s="29">
        <v>77.075999999999993</v>
      </c>
      <c r="J37" s="29">
        <v>46.725999999999999</v>
      </c>
      <c r="K37" s="29">
        <v>48.920999999999999</v>
      </c>
      <c r="L37" s="29">
        <v>108.51300000000001</v>
      </c>
      <c r="M37" s="29">
        <v>83.194000000000003</v>
      </c>
      <c r="N37" s="29">
        <v>15.473000000000001</v>
      </c>
      <c r="O37" s="29">
        <v>40.552</v>
      </c>
      <c r="P37" s="29">
        <v>53.883000000000003</v>
      </c>
      <c r="Q37" s="29">
        <v>41.154000000000003</v>
      </c>
      <c r="R37" s="29">
        <v>36.036000000000001</v>
      </c>
    </row>
    <row r="38" spans="1:18" x14ac:dyDescent="0.2">
      <c r="A38" s="8">
        <v>199011</v>
      </c>
      <c r="B38" s="6">
        <f t="shared" si="0"/>
        <v>1990</v>
      </c>
      <c r="C38" s="9">
        <v>33178</v>
      </c>
      <c r="D38" s="29">
        <v>56.872</v>
      </c>
      <c r="E38" s="29">
        <v>56.404000000000003</v>
      </c>
      <c r="F38" s="29">
        <v>31.736000000000001</v>
      </c>
      <c r="G38" s="29">
        <v>219.965</v>
      </c>
      <c r="H38" s="29">
        <v>50.009</v>
      </c>
      <c r="I38" s="29">
        <v>77.584999999999994</v>
      </c>
      <c r="J38" s="29">
        <v>46.920999999999999</v>
      </c>
      <c r="K38" s="29">
        <v>48.168999999999997</v>
      </c>
      <c r="L38" s="29">
        <v>109.386</v>
      </c>
      <c r="M38" s="29">
        <v>83.638999999999996</v>
      </c>
      <c r="N38" s="29">
        <v>15.561</v>
      </c>
      <c r="O38" s="29">
        <v>40.734999999999999</v>
      </c>
      <c r="P38" s="29">
        <v>54.082999999999998</v>
      </c>
      <c r="Q38" s="29">
        <v>41.210999999999999</v>
      </c>
      <c r="R38" s="29">
        <v>35.811</v>
      </c>
    </row>
    <row r="39" spans="1:18" x14ac:dyDescent="0.2">
      <c r="A39" s="8">
        <v>199012</v>
      </c>
      <c r="B39" s="6">
        <f t="shared" si="0"/>
        <v>1990</v>
      </c>
      <c r="C39" s="9">
        <v>33208</v>
      </c>
      <c r="D39" s="29">
        <v>56.959000000000003</v>
      </c>
      <c r="E39" s="29">
        <v>56.771000000000001</v>
      </c>
      <c r="F39" s="29">
        <v>31.725000000000001</v>
      </c>
      <c r="G39" s="29">
        <v>219.922</v>
      </c>
      <c r="H39" s="29">
        <v>50.308999999999997</v>
      </c>
      <c r="I39" s="29">
        <v>77.971999999999994</v>
      </c>
      <c r="J39" s="29">
        <v>46.994999999999997</v>
      </c>
      <c r="K39" s="29">
        <v>47.286000000000001</v>
      </c>
      <c r="L39" s="29">
        <v>109.57</v>
      </c>
      <c r="M39" s="29">
        <v>83.777000000000001</v>
      </c>
      <c r="N39" s="29">
        <v>15.6</v>
      </c>
      <c r="O39" s="29">
        <v>40.966000000000001</v>
      </c>
      <c r="P39" s="29">
        <v>54.076999999999998</v>
      </c>
      <c r="Q39" s="29">
        <v>41.338000000000001</v>
      </c>
      <c r="R39" s="29">
        <v>35.765000000000001</v>
      </c>
    </row>
    <row r="40" spans="1:18" x14ac:dyDescent="0.2">
      <c r="A40" s="8">
        <v>199101</v>
      </c>
      <c r="B40" s="6">
        <f t="shared" si="0"/>
        <v>1990</v>
      </c>
      <c r="C40" s="9">
        <v>33239</v>
      </c>
      <c r="D40" s="29">
        <v>56.963999999999999</v>
      </c>
      <c r="E40" s="29">
        <v>57.158999999999999</v>
      </c>
      <c r="F40" s="29">
        <v>32.048999999999999</v>
      </c>
      <c r="G40" s="29">
        <v>210.958</v>
      </c>
      <c r="H40" s="29">
        <v>50.518000000000001</v>
      </c>
      <c r="I40" s="29">
        <v>76.575999999999993</v>
      </c>
      <c r="J40" s="29">
        <v>47.35</v>
      </c>
      <c r="K40" s="29">
        <v>47.235999999999997</v>
      </c>
      <c r="L40" s="29">
        <v>109.669</v>
      </c>
      <c r="M40" s="29">
        <v>83.802999999999997</v>
      </c>
      <c r="N40" s="29">
        <v>15.715</v>
      </c>
      <c r="O40" s="29">
        <v>41.192999999999998</v>
      </c>
      <c r="P40" s="29">
        <v>54.484000000000002</v>
      </c>
      <c r="Q40" s="29">
        <v>41.427999999999997</v>
      </c>
      <c r="R40" s="29">
        <v>36.052</v>
      </c>
    </row>
    <row r="41" spans="1:18" x14ac:dyDescent="0.2">
      <c r="A41" s="8">
        <v>199102</v>
      </c>
      <c r="B41" s="6">
        <f t="shared" si="0"/>
        <v>1990</v>
      </c>
      <c r="C41" s="9">
        <v>33270</v>
      </c>
      <c r="D41" s="29">
        <v>57.210999999999999</v>
      </c>
      <c r="E41" s="29">
        <v>57.856000000000002</v>
      </c>
      <c r="F41" s="29">
        <v>32.311</v>
      </c>
      <c r="G41" s="29">
        <v>211.62200000000001</v>
      </c>
      <c r="H41" s="29">
        <v>50.548999999999999</v>
      </c>
      <c r="I41" s="29">
        <v>77.472999999999999</v>
      </c>
      <c r="J41" s="29">
        <v>47.478000000000002</v>
      </c>
      <c r="K41" s="29">
        <v>47.302</v>
      </c>
      <c r="L41" s="29">
        <v>109.79300000000001</v>
      </c>
      <c r="M41" s="29">
        <v>84.147999999999996</v>
      </c>
      <c r="N41" s="29">
        <v>15.722</v>
      </c>
      <c r="O41" s="29">
        <v>41.377000000000002</v>
      </c>
      <c r="P41" s="29">
        <v>54.768999999999998</v>
      </c>
      <c r="Q41" s="29">
        <v>41.468000000000004</v>
      </c>
      <c r="R41" s="29">
        <v>36.067</v>
      </c>
    </row>
    <row r="42" spans="1:18" x14ac:dyDescent="0.2">
      <c r="A42" s="8">
        <v>199103</v>
      </c>
      <c r="B42" s="6">
        <f t="shared" si="0"/>
        <v>1990</v>
      </c>
      <c r="C42" s="9">
        <v>33298</v>
      </c>
      <c r="D42" s="29">
        <v>57.494</v>
      </c>
      <c r="E42" s="29">
        <v>57.875999999999998</v>
      </c>
      <c r="F42" s="29">
        <v>32.441000000000003</v>
      </c>
      <c r="G42" s="29">
        <v>213.971</v>
      </c>
      <c r="H42" s="29">
        <v>50.875999999999998</v>
      </c>
      <c r="I42" s="29">
        <v>78.245999999999995</v>
      </c>
      <c r="J42" s="29">
        <v>47.838000000000001</v>
      </c>
      <c r="K42" s="29">
        <v>47.65</v>
      </c>
      <c r="L42" s="29">
        <v>109.776</v>
      </c>
      <c r="M42" s="29">
        <v>84.08</v>
      </c>
      <c r="N42" s="29">
        <v>15.731999999999999</v>
      </c>
      <c r="O42" s="29">
        <v>41.509</v>
      </c>
      <c r="P42" s="29">
        <v>54.938000000000002</v>
      </c>
      <c r="Q42" s="29">
        <v>41.5</v>
      </c>
      <c r="R42" s="29">
        <v>35.716999999999999</v>
      </c>
    </row>
    <row r="43" spans="1:18" x14ac:dyDescent="0.2">
      <c r="A43" s="8">
        <v>199104</v>
      </c>
      <c r="B43" s="6">
        <f t="shared" si="0"/>
        <v>1991</v>
      </c>
      <c r="C43" s="9">
        <v>33329</v>
      </c>
      <c r="D43" s="29">
        <v>58.728999999999999</v>
      </c>
      <c r="E43" s="29">
        <v>58.572000000000003</v>
      </c>
      <c r="F43" s="29">
        <v>35.433999999999997</v>
      </c>
      <c r="G43" s="29">
        <v>218.398</v>
      </c>
      <c r="H43" s="29">
        <v>50.905000000000001</v>
      </c>
      <c r="I43" s="29">
        <v>79.506</v>
      </c>
      <c r="J43" s="29">
        <v>49.287999999999997</v>
      </c>
      <c r="K43" s="29">
        <v>49.256</v>
      </c>
      <c r="L43" s="29">
        <v>112.179</v>
      </c>
      <c r="M43" s="29">
        <v>86.742999999999995</v>
      </c>
      <c r="N43" s="29">
        <v>15.901</v>
      </c>
      <c r="O43" s="29">
        <v>43.484999999999999</v>
      </c>
      <c r="P43" s="29">
        <v>56.19</v>
      </c>
      <c r="Q43" s="29">
        <v>45.098999999999997</v>
      </c>
      <c r="R43" s="29">
        <v>36.064999999999998</v>
      </c>
    </row>
    <row r="44" spans="1:18" x14ac:dyDescent="0.2">
      <c r="A44" s="8">
        <v>199105</v>
      </c>
      <c r="B44" s="6">
        <f t="shared" si="0"/>
        <v>1991</v>
      </c>
      <c r="C44" s="9">
        <v>33359</v>
      </c>
      <c r="D44" s="29">
        <v>59.158000000000001</v>
      </c>
      <c r="E44" s="29">
        <v>58.484999999999999</v>
      </c>
      <c r="F44" s="29">
        <v>35.76</v>
      </c>
      <c r="G44" s="29">
        <v>219.375</v>
      </c>
      <c r="H44" s="29">
        <v>51.348999999999997</v>
      </c>
      <c r="I44" s="29">
        <v>80.513999999999996</v>
      </c>
      <c r="J44" s="29">
        <v>49.701999999999998</v>
      </c>
      <c r="K44" s="29">
        <v>49.95</v>
      </c>
      <c r="L44" s="29">
        <v>112.485</v>
      </c>
      <c r="M44" s="29">
        <v>87.213999999999999</v>
      </c>
      <c r="N44" s="29">
        <v>16.02</v>
      </c>
      <c r="O44" s="29">
        <v>43.758000000000003</v>
      </c>
      <c r="P44" s="29">
        <v>56.460999999999999</v>
      </c>
      <c r="Q44" s="29">
        <v>45.154000000000003</v>
      </c>
      <c r="R44" s="29">
        <v>36.701999999999998</v>
      </c>
    </row>
    <row r="45" spans="1:18" x14ac:dyDescent="0.2">
      <c r="A45" s="8">
        <v>199106</v>
      </c>
      <c r="B45" s="6">
        <f t="shared" si="0"/>
        <v>1991</v>
      </c>
      <c r="C45" s="9">
        <v>33390</v>
      </c>
      <c r="D45" s="29">
        <v>59.460999999999999</v>
      </c>
      <c r="E45" s="29">
        <v>59.052</v>
      </c>
      <c r="F45" s="29">
        <v>35.853000000000002</v>
      </c>
      <c r="G45" s="29">
        <v>219.83</v>
      </c>
      <c r="H45" s="29">
        <v>51.640999999999998</v>
      </c>
      <c r="I45" s="29">
        <v>80.787999999999997</v>
      </c>
      <c r="J45" s="29">
        <v>50.039000000000001</v>
      </c>
      <c r="K45" s="29">
        <v>50.267000000000003</v>
      </c>
      <c r="L45" s="29">
        <v>112.682</v>
      </c>
      <c r="M45" s="29">
        <v>87.173000000000002</v>
      </c>
      <c r="N45" s="29">
        <v>16.149000000000001</v>
      </c>
      <c r="O45" s="29">
        <v>44.012999999999998</v>
      </c>
      <c r="P45" s="29">
        <v>56.554000000000002</v>
      </c>
      <c r="Q45" s="29">
        <v>45.235999999999997</v>
      </c>
      <c r="R45" s="29">
        <v>37.384</v>
      </c>
    </row>
    <row r="46" spans="1:18" x14ac:dyDescent="0.2">
      <c r="A46" s="8">
        <v>199107</v>
      </c>
      <c r="B46" s="6">
        <f t="shared" si="0"/>
        <v>1991</v>
      </c>
      <c r="C46" s="9">
        <v>33420</v>
      </c>
      <c r="D46" s="29">
        <v>59.343000000000004</v>
      </c>
      <c r="E46" s="29">
        <v>58.317</v>
      </c>
      <c r="F46" s="29">
        <v>35.805</v>
      </c>
      <c r="G46" s="29">
        <v>210.613</v>
      </c>
      <c r="H46" s="29">
        <v>51.738</v>
      </c>
      <c r="I46" s="29">
        <v>79.864999999999995</v>
      </c>
      <c r="J46" s="29">
        <v>50.347000000000001</v>
      </c>
      <c r="K46" s="29">
        <v>50.67</v>
      </c>
      <c r="L46" s="29">
        <v>112.976</v>
      </c>
      <c r="M46" s="29">
        <v>87.442999999999998</v>
      </c>
      <c r="N46" s="29">
        <v>16.134</v>
      </c>
      <c r="O46" s="29">
        <v>44.393999999999998</v>
      </c>
      <c r="P46" s="29">
        <v>56.783999999999999</v>
      </c>
      <c r="Q46" s="29">
        <v>45.231999999999999</v>
      </c>
      <c r="R46" s="29">
        <v>37.832999999999998</v>
      </c>
    </row>
    <row r="47" spans="1:18" x14ac:dyDescent="0.2">
      <c r="A47" s="8">
        <v>199108</v>
      </c>
      <c r="B47" s="6">
        <f t="shared" si="0"/>
        <v>1991</v>
      </c>
      <c r="C47" s="9">
        <v>33451</v>
      </c>
      <c r="D47" s="29">
        <v>59.9</v>
      </c>
      <c r="E47" s="29">
        <v>58.884</v>
      </c>
      <c r="F47" s="29">
        <v>35.796999999999997</v>
      </c>
      <c r="G47" s="29">
        <v>213.96299999999999</v>
      </c>
      <c r="H47" s="29">
        <v>52.463000000000001</v>
      </c>
      <c r="I47" s="29">
        <v>81.188999999999993</v>
      </c>
      <c r="J47" s="29">
        <v>50.9</v>
      </c>
      <c r="K47" s="29">
        <v>50.862000000000002</v>
      </c>
      <c r="L47" s="29">
        <v>113.03</v>
      </c>
      <c r="M47" s="29">
        <v>87.86</v>
      </c>
      <c r="N47" s="29">
        <v>16.196000000000002</v>
      </c>
      <c r="O47" s="29">
        <v>44.658999999999999</v>
      </c>
      <c r="P47" s="29">
        <v>57.088000000000001</v>
      </c>
      <c r="Q47" s="29">
        <v>45.35</v>
      </c>
      <c r="R47" s="29">
        <v>37.976999999999997</v>
      </c>
    </row>
    <row r="48" spans="1:18" x14ac:dyDescent="0.2">
      <c r="A48" s="8">
        <v>199109</v>
      </c>
      <c r="B48" s="6">
        <f t="shared" si="0"/>
        <v>1991</v>
      </c>
      <c r="C48" s="9">
        <v>33482</v>
      </c>
      <c r="D48" s="29">
        <v>60.091000000000001</v>
      </c>
      <c r="E48" s="29">
        <v>58.43</v>
      </c>
      <c r="F48" s="29">
        <v>35.823</v>
      </c>
      <c r="G48" s="29">
        <v>219.21799999999999</v>
      </c>
      <c r="H48" s="29">
        <v>52.610999999999997</v>
      </c>
      <c r="I48" s="29">
        <v>81.521000000000001</v>
      </c>
      <c r="J48" s="29">
        <v>51.061999999999998</v>
      </c>
      <c r="K48" s="29">
        <v>50.99</v>
      </c>
      <c r="L48" s="29">
        <v>114.587</v>
      </c>
      <c r="M48" s="29">
        <v>87.846999999999994</v>
      </c>
      <c r="N48" s="29">
        <v>17.948</v>
      </c>
      <c r="O48" s="29">
        <v>44.854999999999997</v>
      </c>
      <c r="P48" s="29">
        <v>56.982999999999997</v>
      </c>
      <c r="Q48" s="29">
        <v>45.323999999999998</v>
      </c>
      <c r="R48" s="29">
        <v>38.091999999999999</v>
      </c>
    </row>
    <row r="49" spans="1:18" x14ac:dyDescent="0.2">
      <c r="A49" s="8">
        <v>199110</v>
      </c>
      <c r="B49" s="6">
        <f t="shared" si="0"/>
        <v>1991</v>
      </c>
      <c r="C49" s="9">
        <v>33512</v>
      </c>
      <c r="D49" s="29">
        <v>60.369</v>
      </c>
      <c r="E49" s="29">
        <v>58.478000000000002</v>
      </c>
      <c r="F49" s="29">
        <v>35.844999999999999</v>
      </c>
      <c r="G49" s="29">
        <v>221.92500000000001</v>
      </c>
      <c r="H49" s="29">
        <v>52.875</v>
      </c>
      <c r="I49" s="29">
        <v>81.754000000000005</v>
      </c>
      <c r="J49" s="29">
        <v>51.485999999999997</v>
      </c>
      <c r="K49" s="29">
        <v>51.289000000000001</v>
      </c>
      <c r="L49" s="29">
        <v>115.871</v>
      </c>
      <c r="M49" s="29">
        <v>88.022000000000006</v>
      </c>
      <c r="N49" s="29">
        <v>18.038</v>
      </c>
      <c r="O49" s="29">
        <v>45.027000000000001</v>
      </c>
      <c r="P49" s="29">
        <v>57.570999999999998</v>
      </c>
      <c r="Q49" s="29">
        <v>45.430999999999997</v>
      </c>
      <c r="R49" s="29">
        <v>38.091000000000001</v>
      </c>
    </row>
    <row r="50" spans="1:18" x14ac:dyDescent="0.2">
      <c r="A50" s="8">
        <v>199111</v>
      </c>
      <c r="B50" s="6">
        <f t="shared" si="0"/>
        <v>1991</v>
      </c>
      <c r="C50" s="9">
        <v>33543</v>
      </c>
      <c r="D50" s="29">
        <v>60.546999999999997</v>
      </c>
      <c r="E50" s="29">
        <v>59.024000000000001</v>
      </c>
      <c r="F50" s="29">
        <v>36.064</v>
      </c>
      <c r="G50" s="29">
        <v>222.626</v>
      </c>
      <c r="H50" s="29">
        <v>52.884</v>
      </c>
      <c r="I50" s="29">
        <v>82.004000000000005</v>
      </c>
      <c r="J50" s="29">
        <v>51.578000000000003</v>
      </c>
      <c r="K50" s="29">
        <v>51.386000000000003</v>
      </c>
      <c r="L50" s="29">
        <v>116.532</v>
      </c>
      <c r="M50" s="29">
        <v>88.27</v>
      </c>
      <c r="N50" s="29">
        <v>18.065999999999999</v>
      </c>
      <c r="O50" s="29">
        <v>45.162999999999997</v>
      </c>
      <c r="P50" s="29">
        <v>57.685000000000002</v>
      </c>
      <c r="Q50" s="29">
        <v>45.601999999999997</v>
      </c>
      <c r="R50" s="29">
        <v>38.186999999999998</v>
      </c>
    </row>
    <row r="51" spans="1:18" x14ac:dyDescent="0.2">
      <c r="A51" s="8">
        <v>199112</v>
      </c>
      <c r="B51" s="6">
        <f t="shared" si="0"/>
        <v>1991</v>
      </c>
      <c r="C51" s="9">
        <v>33573</v>
      </c>
      <c r="D51" s="29">
        <v>60.662999999999997</v>
      </c>
      <c r="E51" s="29">
        <v>59.201000000000001</v>
      </c>
      <c r="F51" s="29">
        <v>36.076999999999998</v>
      </c>
      <c r="G51" s="29">
        <v>223.15299999999999</v>
      </c>
      <c r="H51" s="29">
        <v>53.094999999999999</v>
      </c>
      <c r="I51" s="29">
        <v>82.4</v>
      </c>
      <c r="J51" s="29">
        <v>51.694000000000003</v>
      </c>
      <c r="K51" s="29">
        <v>51.213000000000001</v>
      </c>
      <c r="L51" s="29">
        <v>116.55500000000001</v>
      </c>
      <c r="M51" s="29">
        <v>88.498999999999995</v>
      </c>
      <c r="N51" s="29">
        <v>18.088999999999999</v>
      </c>
      <c r="O51" s="29">
        <v>45.274999999999999</v>
      </c>
      <c r="P51" s="29">
        <v>57.421999999999997</v>
      </c>
      <c r="Q51" s="29">
        <v>45.612000000000002</v>
      </c>
      <c r="R51" s="29">
        <v>38.101999999999997</v>
      </c>
    </row>
    <row r="52" spans="1:18" x14ac:dyDescent="0.2">
      <c r="A52" s="8">
        <v>199201</v>
      </c>
      <c r="B52" s="6">
        <f t="shared" si="0"/>
        <v>1991</v>
      </c>
      <c r="C52" s="9">
        <v>33604</v>
      </c>
      <c r="D52" s="29">
        <v>60.521999999999998</v>
      </c>
      <c r="E52" s="29">
        <v>59.73</v>
      </c>
      <c r="F52" s="29">
        <v>36.46</v>
      </c>
      <c r="G52" s="29">
        <v>211.16200000000001</v>
      </c>
      <c r="H52" s="29">
        <v>53.08</v>
      </c>
      <c r="I52" s="29">
        <v>80.596000000000004</v>
      </c>
      <c r="J52" s="29">
        <v>51.604999999999997</v>
      </c>
      <c r="K52" s="29">
        <v>51.027999999999999</v>
      </c>
      <c r="L52" s="29">
        <v>116.351</v>
      </c>
      <c r="M52" s="29">
        <v>88.414000000000001</v>
      </c>
      <c r="N52" s="29">
        <v>18.228000000000002</v>
      </c>
      <c r="O52" s="29">
        <v>45.366</v>
      </c>
      <c r="P52" s="29">
        <v>58.097000000000001</v>
      </c>
      <c r="Q52" s="29">
        <v>45.835999999999999</v>
      </c>
      <c r="R52" s="29">
        <v>37.984000000000002</v>
      </c>
    </row>
    <row r="53" spans="1:18" x14ac:dyDescent="0.2">
      <c r="A53" s="8">
        <v>199202</v>
      </c>
      <c r="B53" s="6">
        <f t="shared" si="0"/>
        <v>1991</v>
      </c>
      <c r="C53" s="9">
        <v>33635</v>
      </c>
      <c r="D53" s="29">
        <v>60.832999999999998</v>
      </c>
      <c r="E53" s="29">
        <v>60.095999999999997</v>
      </c>
      <c r="F53" s="29">
        <v>36.616999999999997</v>
      </c>
      <c r="G53" s="29">
        <v>212.40899999999999</v>
      </c>
      <c r="H53" s="29">
        <v>53.348999999999997</v>
      </c>
      <c r="I53" s="29">
        <v>81.299000000000007</v>
      </c>
      <c r="J53" s="29">
        <v>51.767000000000003</v>
      </c>
      <c r="K53" s="29">
        <v>51.423999999999999</v>
      </c>
      <c r="L53" s="29">
        <v>116.348</v>
      </c>
      <c r="M53" s="29">
        <v>88.552000000000007</v>
      </c>
      <c r="N53" s="29">
        <v>18.260999999999999</v>
      </c>
      <c r="O53" s="29">
        <v>45.51</v>
      </c>
      <c r="P53" s="29">
        <v>58.258000000000003</v>
      </c>
      <c r="Q53" s="29">
        <v>45.862000000000002</v>
      </c>
      <c r="R53" s="29">
        <v>38.03</v>
      </c>
    </row>
    <row r="54" spans="1:18" x14ac:dyDescent="0.2">
      <c r="A54" s="8">
        <v>199203</v>
      </c>
      <c r="B54" s="6">
        <f t="shared" si="0"/>
        <v>1991</v>
      </c>
      <c r="C54" s="9">
        <v>33664</v>
      </c>
      <c r="D54" s="29">
        <v>61.064</v>
      </c>
      <c r="E54" s="29">
        <v>60.256999999999998</v>
      </c>
      <c r="F54" s="29">
        <v>36.728999999999999</v>
      </c>
      <c r="G54" s="29">
        <v>215.03200000000001</v>
      </c>
      <c r="H54" s="29">
        <v>53.341999999999999</v>
      </c>
      <c r="I54" s="29">
        <v>82.037000000000006</v>
      </c>
      <c r="J54" s="29">
        <v>52.27</v>
      </c>
      <c r="K54" s="29">
        <v>51.933999999999997</v>
      </c>
      <c r="L54" s="29">
        <v>116.214</v>
      </c>
      <c r="M54" s="29">
        <v>88.944999999999993</v>
      </c>
      <c r="N54" s="29">
        <v>18.260000000000002</v>
      </c>
      <c r="O54" s="29">
        <v>45.65</v>
      </c>
      <c r="P54" s="29">
        <v>58.459000000000003</v>
      </c>
      <c r="Q54" s="29">
        <v>45.911999999999999</v>
      </c>
      <c r="R54" s="29">
        <v>37.963999999999999</v>
      </c>
    </row>
    <row r="55" spans="1:18" x14ac:dyDescent="0.2">
      <c r="A55" s="8">
        <v>199204</v>
      </c>
      <c r="B55" s="6">
        <f t="shared" si="0"/>
        <v>1992</v>
      </c>
      <c r="C55" s="9">
        <v>33695</v>
      </c>
      <c r="D55" s="29">
        <v>61.808</v>
      </c>
      <c r="E55" s="29">
        <v>60.002000000000002</v>
      </c>
      <c r="F55" s="29">
        <v>38.167000000000002</v>
      </c>
      <c r="G55" s="29">
        <v>216.61600000000001</v>
      </c>
      <c r="H55" s="29">
        <v>54.395000000000003</v>
      </c>
      <c r="I55" s="29">
        <v>82.084000000000003</v>
      </c>
      <c r="J55" s="29">
        <v>52.871000000000002</v>
      </c>
      <c r="K55" s="29">
        <v>52.491999999999997</v>
      </c>
      <c r="L55" s="29">
        <v>116.223</v>
      </c>
      <c r="M55" s="29">
        <v>89.947000000000003</v>
      </c>
      <c r="N55" s="29">
        <v>18.295000000000002</v>
      </c>
      <c r="O55" s="29">
        <v>46.103000000000002</v>
      </c>
      <c r="P55" s="29">
        <v>59.029000000000003</v>
      </c>
      <c r="Q55" s="29">
        <v>48.651000000000003</v>
      </c>
      <c r="R55" s="29">
        <v>38.023000000000003</v>
      </c>
    </row>
    <row r="56" spans="1:18" x14ac:dyDescent="0.2">
      <c r="A56" s="8">
        <v>199205</v>
      </c>
      <c r="B56" s="6">
        <f t="shared" si="0"/>
        <v>1992</v>
      </c>
      <c r="C56" s="9">
        <v>33725</v>
      </c>
      <c r="D56" s="29">
        <v>62.164000000000001</v>
      </c>
      <c r="E56" s="29">
        <v>60.243000000000002</v>
      </c>
      <c r="F56" s="29">
        <v>38.332999999999998</v>
      </c>
      <c r="G56" s="29">
        <v>216.529</v>
      </c>
      <c r="H56" s="29">
        <v>54.948999999999998</v>
      </c>
      <c r="I56" s="29">
        <v>82.201999999999998</v>
      </c>
      <c r="J56" s="29">
        <v>53.137999999999998</v>
      </c>
      <c r="K56" s="29">
        <v>52.817</v>
      </c>
      <c r="L56" s="29">
        <v>116.15900000000001</v>
      </c>
      <c r="M56" s="29">
        <v>90.05</v>
      </c>
      <c r="N56" s="29">
        <v>18.369</v>
      </c>
      <c r="O56" s="29">
        <v>46.341000000000001</v>
      </c>
      <c r="P56" s="29">
        <v>59.256</v>
      </c>
      <c r="Q56" s="29">
        <v>48.677999999999997</v>
      </c>
      <c r="R56" s="29">
        <v>38.167000000000002</v>
      </c>
    </row>
    <row r="57" spans="1:18" x14ac:dyDescent="0.2">
      <c r="A57" s="8">
        <v>199206</v>
      </c>
      <c r="B57" s="6">
        <f t="shared" si="0"/>
        <v>1992</v>
      </c>
      <c r="C57" s="9">
        <v>33756</v>
      </c>
      <c r="D57" s="29">
        <v>62.215000000000003</v>
      </c>
      <c r="E57" s="29">
        <v>60.027999999999999</v>
      </c>
      <c r="F57" s="29">
        <v>38.359000000000002</v>
      </c>
      <c r="G57" s="29">
        <v>217.31800000000001</v>
      </c>
      <c r="H57" s="29">
        <v>54.993000000000002</v>
      </c>
      <c r="I57" s="29">
        <v>81.918999999999997</v>
      </c>
      <c r="J57" s="29">
        <v>53.320999999999998</v>
      </c>
      <c r="K57" s="29">
        <v>53.045999999999999</v>
      </c>
      <c r="L57" s="29">
        <v>116.184</v>
      </c>
      <c r="M57" s="29">
        <v>90.06</v>
      </c>
      <c r="N57" s="29">
        <v>18.390999999999998</v>
      </c>
      <c r="O57" s="29">
        <v>46.521999999999998</v>
      </c>
      <c r="P57" s="29">
        <v>59.295000000000002</v>
      </c>
      <c r="Q57" s="29">
        <v>48.709000000000003</v>
      </c>
      <c r="R57" s="29">
        <v>38.253</v>
      </c>
    </row>
    <row r="58" spans="1:18" x14ac:dyDescent="0.2">
      <c r="A58" s="8">
        <v>199207</v>
      </c>
      <c r="B58" s="6">
        <f t="shared" si="0"/>
        <v>1992</v>
      </c>
      <c r="C58" s="9">
        <v>33786</v>
      </c>
      <c r="D58" s="29">
        <v>62.021999999999998</v>
      </c>
      <c r="E58" s="29">
        <v>59.249000000000002</v>
      </c>
      <c r="F58" s="29">
        <v>38.395000000000003</v>
      </c>
      <c r="G58" s="29">
        <v>207.892</v>
      </c>
      <c r="H58" s="29">
        <v>55.198999999999998</v>
      </c>
      <c r="I58" s="29">
        <v>80.960999999999999</v>
      </c>
      <c r="J58" s="29">
        <v>53.723999999999997</v>
      </c>
      <c r="K58" s="29">
        <v>53.006</v>
      </c>
      <c r="L58" s="29">
        <v>116.01900000000001</v>
      </c>
      <c r="M58" s="29">
        <v>89.834999999999994</v>
      </c>
      <c r="N58" s="29">
        <v>18.446999999999999</v>
      </c>
      <c r="O58" s="29">
        <v>46.762</v>
      </c>
      <c r="P58" s="29">
        <v>59.473999999999997</v>
      </c>
      <c r="Q58" s="29">
        <v>48.755000000000003</v>
      </c>
      <c r="R58" s="29">
        <v>38.284999999999997</v>
      </c>
    </row>
    <row r="59" spans="1:18" x14ac:dyDescent="0.2">
      <c r="A59" s="8">
        <v>199208</v>
      </c>
      <c r="B59" s="6">
        <f t="shared" si="0"/>
        <v>1992</v>
      </c>
      <c r="C59" s="9">
        <v>33817</v>
      </c>
      <c r="D59" s="29">
        <v>62.113</v>
      </c>
      <c r="E59" s="29">
        <v>59.387</v>
      </c>
      <c r="F59" s="29">
        <v>38.396999999999998</v>
      </c>
      <c r="G59" s="29">
        <v>207.40100000000001</v>
      </c>
      <c r="H59" s="29">
        <v>55.338999999999999</v>
      </c>
      <c r="I59" s="29">
        <v>81.516000000000005</v>
      </c>
      <c r="J59" s="29">
        <v>53.927999999999997</v>
      </c>
      <c r="K59" s="29">
        <v>52.908000000000001</v>
      </c>
      <c r="L59" s="29">
        <v>116</v>
      </c>
      <c r="M59" s="29">
        <v>89.94</v>
      </c>
      <c r="N59" s="29">
        <v>18.477</v>
      </c>
      <c r="O59" s="29">
        <v>46.917000000000002</v>
      </c>
      <c r="P59" s="29">
        <v>59.320999999999998</v>
      </c>
      <c r="Q59" s="29">
        <v>48.76</v>
      </c>
      <c r="R59" s="29">
        <v>38.081000000000003</v>
      </c>
    </row>
    <row r="60" spans="1:18" x14ac:dyDescent="0.2">
      <c r="A60" s="8">
        <v>199209</v>
      </c>
      <c r="B60" s="6">
        <f t="shared" si="0"/>
        <v>1992</v>
      </c>
      <c r="C60" s="9">
        <v>33848</v>
      </c>
      <c r="D60" s="29">
        <v>62.292999999999999</v>
      </c>
      <c r="E60" s="29">
        <v>59.174999999999997</v>
      </c>
      <c r="F60" s="29">
        <v>38.411999999999999</v>
      </c>
      <c r="G60" s="29">
        <v>215.25800000000001</v>
      </c>
      <c r="H60" s="29">
        <v>55.374000000000002</v>
      </c>
      <c r="I60" s="29">
        <v>82.381</v>
      </c>
      <c r="J60" s="29">
        <v>54.024999999999999</v>
      </c>
      <c r="K60" s="29">
        <v>52.655999999999999</v>
      </c>
      <c r="L60" s="29">
        <v>116.014</v>
      </c>
      <c r="M60" s="29">
        <v>90.108000000000004</v>
      </c>
      <c r="N60" s="29">
        <v>19.788</v>
      </c>
      <c r="O60" s="29">
        <v>47.136000000000003</v>
      </c>
      <c r="P60" s="29">
        <v>59.472999999999999</v>
      </c>
      <c r="Q60" s="29">
        <v>48.762999999999998</v>
      </c>
      <c r="R60" s="29">
        <v>37.917999999999999</v>
      </c>
    </row>
    <row r="61" spans="1:18" x14ac:dyDescent="0.2">
      <c r="A61" s="8">
        <v>199210</v>
      </c>
      <c r="B61" s="6">
        <f t="shared" si="0"/>
        <v>1992</v>
      </c>
      <c r="C61" s="9">
        <v>33878</v>
      </c>
      <c r="D61" s="29">
        <v>62.463999999999999</v>
      </c>
      <c r="E61" s="29">
        <v>59.36</v>
      </c>
      <c r="F61" s="29">
        <v>38.497999999999998</v>
      </c>
      <c r="G61" s="29">
        <v>218.422</v>
      </c>
      <c r="H61" s="29">
        <v>55.463000000000001</v>
      </c>
      <c r="I61" s="29">
        <v>82.578999999999994</v>
      </c>
      <c r="J61" s="29">
        <v>54.116999999999997</v>
      </c>
      <c r="K61" s="29">
        <v>52.731999999999999</v>
      </c>
      <c r="L61" s="29">
        <v>116.002</v>
      </c>
      <c r="M61" s="29">
        <v>90.093999999999994</v>
      </c>
      <c r="N61" s="29">
        <v>19.863</v>
      </c>
      <c r="O61" s="29">
        <v>47.351999999999997</v>
      </c>
      <c r="P61" s="29">
        <v>59.64</v>
      </c>
      <c r="Q61" s="29">
        <v>49.1</v>
      </c>
      <c r="R61" s="29">
        <v>38.026000000000003</v>
      </c>
    </row>
    <row r="62" spans="1:18" x14ac:dyDescent="0.2">
      <c r="A62" s="8">
        <v>199211</v>
      </c>
      <c r="B62" s="6">
        <f t="shared" si="0"/>
        <v>1992</v>
      </c>
      <c r="C62" s="9">
        <v>33909</v>
      </c>
      <c r="D62" s="29">
        <v>62.542000000000002</v>
      </c>
      <c r="E62" s="29">
        <v>59.258000000000003</v>
      </c>
      <c r="F62" s="29">
        <v>38.57</v>
      </c>
      <c r="G62" s="29">
        <v>217.642</v>
      </c>
      <c r="H62" s="29">
        <v>55.597000000000001</v>
      </c>
      <c r="I62" s="29">
        <v>82.765000000000001</v>
      </c>
      <c r="J62" s="29">
        <v>54.412999999999997</v>
      </c>
      <c r="K62" s="29">
        <v>52.722999999999999</v>
      </c>
      <c r="L62" s="29">
        <v>115.96599999999999</v>
      </c>
      <c r="M62" s="29">
        <v>90.27</v>
      </c>
      <c r="N62" s="29">
        <v>19.893999999999998</v>
      </c>
      <c r="O62" s="29">
        <v>47.47</v>
      </c>
      <c r="P62" s="29">
        <v>59.963000000000001</v>
      </c>
      <c r="Q62" s="29">
        <v>49.171999999999997</v>
      </c>
      <c r="R62" s="29">
        <v>38.061999999999998</v>
      </c>
    </row>
    <row r="63" spans="1:18" x14ac:dyDescent="0.2">
      <c r="A63" s="8">
        <v>199212</v>
      </c>
      <c r="B63" s="6">
        <f t="shared" si="0"/>
        <v>1992</v>
      </c>
      <c r="C63" s="9">
        <v>33939</v>
      </c>
      <c r="D63" s="29">
        <v>62.601999999999997</v>
      </c>
      <c r="E63" s="29">
        <v>59.747999999999998</v>
      </c>
      <c r="F63" s="29">
        <v>38.625</v>
      </c>
      <c r="G63" s="29">
        <v>216.62799999999999</v>
      </c>
      <c r="H63" s="29">
        <v>55.636000000000003</v>
      </c>
      <c r="I63" s="29">
        <v>83.414000000000001</v>
      </c>
      <c r="J63" s="29">
        <v>54.454000000000001</v>
      </c>
      <c r="K63" s="29">
        <v>52.488999999999997</v>
      </c>
      <c r="L63" s="29">
        <v>115.964</v>
      </c>
      <c r="M63" s="29">
        <v>90.254999999999995</v>
      </c>
      <c r="N63" s="29">
        <v>19.91</v>
      </c>
      <c r="O63" s="29">
        <v>47.58</v>
      </c>
      <c r="P63" s="29">
        <v>59.622</v>
      </c>
      <c r="Q63" s="29">
        <v>49.176000000000002</v>
      </c>
      <c r="R63" s="29">
        <v>37.911000000000001</v>
      </c>
    </row>
    <row r="64" spans="1:18" x14ac:dyDescent="0.2">
      <c r="A64" s="8">
        <v>199301</v>
      </c>
      <c r="B64" s="6">
        <f t="shared" si="0"/>
        <v>1992</v>
      </c>
      <c r="C64" s="9">
        <v>33970</v>
      </c>
      <c r="D64" s="29">
        <v>62.350999999999999</v>
      </c>
      <c r="E64" s="29">
        <v>59.924999999999997</v>
      </c>
      <c r="F64" s="29">
        <v>38.969000000000001</v>
      </c>
      <c r="G64" s="29">
        <v>205.99600000000001</v>
      </c>
      <c r="H64" s="29">
        <v>55.683</v>
      </c>
      <c r="I64" s="29">
        <v>81.247</v>
      </c>
      <c r="J64" s="29">
        <v>54.588999999999999</v>
      </c>
      <c r="K64" s="29">
        <v>51.857999999999997</v>
      </c>
      <c r="L64" s="29">
        <v>116.532</v>
      </c>
      <c r="M64" s="29">
        <v>90.186999999999998</v>
      </c>
      <c r="N64" s="29">
        <v>20.036000000000001</v>
      </c>
      <c r="O64" s="29">
        <v>47.683999999999997</v>
      </c>
      <c r="P64" s="29">
        <v>59.968000000000004</v>
      </c>
      <c r="Q64" s="29">
        <v>49.137999999999998</v>
      </c>
      <c r="R64" s="29">
        <v>37.841999999999999</v>
      </c>
    </row>
    <row r="65" spans="1:18" x14ac:dyDescent="0.2">
      <c r="A65" s="8">
        <v>199302</v>
      </c>
      <c r="B65" s="6">
        <f t="shared" si="0"/>
        <v>1992</v>
      </c>
      <c r="C65" s="9">
        <v>34001</v>
      </c>
      <c r="D65" s="29">
        <v>62.737000000000002</v>
      </c>
      <c r="E65" s="29">
        <v>60.6</v>
      </c>
      <c r="F65" s="29">
        <v>39.137999999999998</v>
      </c>
      <c r="G65" s="29">
        <v>207.6</v>
      </c>
      <c r="H65" s="29">
        <v>55.960999999999999</v>
      </c>
      <c r="I65" s="29">
        <v>81.78</v>
      </c>
      <c r="J65" s="29">
        <v>54.64</v>
      </c>
      <c r="K65" s="29">
        <v>52.387999999999998</v>
      </c>
      <c r="L65" s="29">
        <v>117.077</v>
      </c>
      <c r="M65" s="29">
        <v>90.537000000000006</v>
      </c>
      <c r="N65" s="29">
        <v>20.068999999999999</v>
      </c>
      <c r="O65" s="29">
        <v>47.787999999999997</v>
      </c>
      <c r="P65" s="29">
        <v>60.295999999999999</v>
      </c>
      <c r="Q65" s="29">
        <v>49.188000000000002</v>
      </c>
      <c r="R65" s="29">
        <v>37.845999999999997</v>
      </c>
    </row>
    <row r="66" spans="1:18" x14ac:dyDescent="0.2">
      <c r="A66" s="8">
        <v>199303</v>
      </c>
      <c r="B66" s="6">
        <f t="shared" si="0"/>
        <v>1992</v>
      </c>
      <c r="C66" s="9">
        <v>34029</v>
      </c>
      <c r="D66" s="29">
        <v>63.045000000000002</v>
      </c>
      <c r="E66" s="29">
        <v>61.084000000000003</v>
      </c>
      <c r="F66" s="29">
        <v>39.332999999999998</v>
      </c>
      <c r="G66" s="29">
        <v>210.43</v>
      </c>
      <c r="H66" s="29">
        <v>56.048999999999999</v>
      </c>
      <c r="I66" s="29">
        <v>82.465999999999994</v>
      </c>
      <c r="J66" s="29">
        <v>54.831000000000003</v>
      </c>
      <c r="K66" s="29">
        <v>52.923999999999999</v>
      </c>
      <c r="L66" s="29">
        <v>117.587</v>
      </c>
      <c r="M66" s="29">
        <v>90.605000000000004</v>
      </c>
      <c r="N66" s="29">
        <v>20.135999999999999</v>
      </c>
      <c r="O66" s="29">
        <v>47.942999999999998</v>
      </c>
      <c r="P66" s="29">
        <v>60.652000000000001</v>
      </c>
      <c r="Q66" s="29">
        <v>49.222999999999999</v>
      </c>
      <c r="R66" s="29">
        <v>37.917000000000002</v>
      </c>
    </row>
    <row r="67" spans="1:18" x14ac:dyDescent="0.2">
      <c r="A67" s="8">
        <v>199304</v>
      </c>
      <c r="B67" s="6">
        <f t="shared" si="0"/>
        <v>1993</v>
      </c>
      <c r="C67" s="9">
        <v>34060</v>
      </c>
      <c r="D67" s="29">
        <v>63.414999999999999</v>
      </c>
      <c r="E67" s="29">
        <v>60.790999999999997</v>
      </c>
      <c r="F67" s="29">
        <v>40.231000000000002</v>
      </c>
      <c r="G67" s="29">
        <v>212.33500000000001</v>
      </c>
      <c r="H67" s="29">
        <v>56.097999999999999</v>
      </c>
      <c r="I67" s="29">
        <v>82.787000000000006</v>
      </c>
      <c r="J67" s="29">
        <v>55.368000000000002</v>
      </c>
      <c r="K67" s="29">
        <v>53.866</v>
      </c>
      <c r="L67" s="29">
        <v>117.658</v>
      </c>
      <c r="M67" s="29">
        <v>91.248999999999995</v>
      </c>
      <c r="N67" s="29">
        <v>20.221</v>
      </c>
      <c r="O67" s="29">
        <v>48.572000000000003</v>
      </c>
      <c r="P67" s="29">
        <v>61.209000000000003</v>
      </c>
      <c r="Q67" s="29">
        <v>52.192999999999998</v>
      </c>
      <c r="R67" s="29">
        <v>37.802</v>
      </c>
    </row>
    <row r="68" spans="1:18" x14ac:dyDescent="0.2">
      <c r="A68" s="8">
        <v>199305</v>
      </c>
      <c r="B68" s="6">
        <f t="shared" si="0"/>
        <v>1993</v>
      </c>
      <c r="C68" s="9">
        <v>34090</v>
      </c>
      <c r="D68" s="29">
        <v>63.569000000000003</v>
      </c>
      <c r="E68" s="29">
        <v>61.481999999999999</v>
      </c>
      <c r="F68" s="29">
        <v>40.438000000000002</v>
      </c>
      <c r="G68" s="29">
        <v>213.23400000000001</v>
      </c>
      <c r="H68" s="29">
        <v>55.98</v>
      </c>
      <c r="I68" s="29">
        <v>82.936999999999998</v>
      </c>
      <c r="J68" s="29">
        <v>54.326000000000001</v>
      </c>
      <c r="K68" s="29">
        <v>54.212000000000003</v>
      </c>
      <c r="L68" s="29">
        <v>117.667</v>
      </c>
      <c r="M68" s="29">
        <v>91.454999999999998</v>
      </c>
      <c r="N68" s="29">
        <v>20.259</v>
      </c>
      <c r="O68" s="29">
        <v>48.715000000000003</v>
      </c>
      <c r="P68" s="29">
        <v>61.295000000000002</v>
      </c>
      <c r="Q68" s="29">
        <v>52.155000000000001</v>
      </c>
      <c r="R68" s="29">
        <v>37.563000000000002</v>
      </c>
    </row>
    <row r="69" spans="1:18" x14ac:dyDescent="0.2">
      <c r="A69" s="8">
        <v>199306</v>
      </c>
      <c r="B69" s="6">
        <f t="shared" ref="B69:B132" si="1">IF(MOD(A69,100)&gt;=4,  INT(A69/100), INT(A69/100)-1)</f>
        <v>1993</v>
      </c>
      <c r="C69" s="9">
        <v>34121</v>
      </c>
      <c r="D69" s="29">
        <v>63.576000000000001</v>
      </c>
      <c r="E69" s="29">
        <v>61.128</v>
      </c>
      <c r="F69" s="29">
        <v>40.408999999999999</v>
      </c>
      <c r="G69" s="29">
        <v>211.52199999999999</v>
      </c>
      <c r="H69" s="29">
        <v>56.076999999999998</v>
      </c>
      <c r="I69" s="29">
        <v>82.340999999999994</v>
      </c>
      <c r="J69" s="29">
        <v>52.686999999999998</v>
      </c>
      <c r="K69" s="29">
        <v>54.848999999999997</v>
      </c>
      <c r="L69" s="29">
        <v>114.887</v>
      </c>
      <c r="M69" s="29">
        <v>91.415000000000006</v>
      </c>
      <c r="N69" s="29">
        <v>20.337</v>
      </c>
      <c r="O69" s="29">
        <v>48.912999999999997</v>
      </c>
      <c r="P69" s="29">
        <v>61.298000000000002</v>
      </c>
      <c r="Q69" s="29">
        <v>52.274999999999999</v>
      </c>
      <c r="R69" s="29">
        <v>37.392000000000003</v>
      </c>
    </row>
    <row r="70" spans="1:18" x14ac:dyDescent="0.2">
      <c r="A70" s="8">
        <v>199307</v>
      </c>
      <c r="B70" s="6">
        <f t="shared" si="1"/>
        <v>1993</v>
      </c>
      <c r="C70" s="9">
        <v>34151</v>
      </c>
      <c r="D70" s="29">
        <v>63.43</v>
      </c>
      <c r="E70" s="29">
        <v>61.094000000000001</v>
      </c>
      <c r="F70" s="29">
        <v>40.378</v>
      </c>
      <c r="G70" s="29">
        <v>203.72399999999999</v>
      </c>
      <c r="H70" s="29">
        <v>56.081000000000003</v>
      </c>
      <c r="I70" s="29">
        <v>81.007999999999996</v>
      </c>
      <c r="J70" s="29">
        <v>52.427</v>
      </c>
      <c r="K70" s="29">
        <v>54.878999999999998</v>
      </c>
      <c r="L70" s="29">
        <v>116.309</v>
      </c>
      <c r="M70" s="29">
        <v>91.355999999999995</v>
      </c>
      <c r="N70" s="29">
        <v>20.376999999999999</v>
      </c>
      <c r="O70" s="29">
        <v>49.177</v>
      </c>
      <c r="P70" s="29">
        <v>61.470999999999997</v>
      </c>
      <c r="Q70" s="29">
        <v>52.305999999999997</v>
      </c>
      <c r="R70" s="29">
        <v>37.316000000000003</v>
      </c>
    </row>
    <row r="71" spans="1:18" x14ac:dyDescent="0.2">
      <c r="A71" s="8">
        <v>199308</v>
      </c>
      <c r="B71" s="6">
        <f t="shared" si="1"/>
        <v>1993</v>
      </c>
      <c r="C71" s="9">
        <v>34182</v>
      </c>
      <c r="D71" s="29">
        <v>63.719000000000001</v>
      </c>
      <c r="E71" s="29">
        <v>61.101999999999997</v>
      </c>
      <c r="F71" s="29">
        <v>40.627000000000002</v>
      </c>
      <c r="G71" s="29">
        <v>206.30199999999999</v>
      </c>
      <c r="H71" s="29">
        <v>56.36</v>
      </c>
      <c r="I71" s="29">
        <v>81.863</v>
      </c>
      <c r="J71" s="29">
        <v>52.689</v>
      </c>
      <c r="K71" s="29">
        <v>54.954000000000001</v>
      </c>
      <c r="L71" s="29">
        <v>116.492</v>
      </c>
      <c r="M71" s="29">
        <v>91.753</v>
      </c>
      <c r="N71" s="29">
        <v>20.396000000000001</v>
      </c>
      <c r="O71" s="29">
        <v>49.323</v>
      </c>
      <c r="P71" s="29">
        <v>61.915999999999997</v>
      </c>
      <c r="Q71" s="29">
        <v>52.402000000000001</v>
      </c>
      <c r="R71" s="29">
        <v>37.280999999999999</v>
      </c>
    </row>
    <row r="72" spans="1:18" x14ac:dyDescent="0.2">
      <c r="A72" s="8">
        <v>199309</v>
      </c>
      <c r="B72" s="6">
        <f t="shared" si="1"/>
        <v>1993</v>
      </c>
      <c r="C72" s="9">
        <v>34213</v>
      </c>
      <c r="D72" s="29">
        <v>63.954999999999998</v>
      </c>
      <c r="E72" s="29">
        <v>60.875</v>
      </c>
      <c r="F72" s="29">
        <v>40.826999999999998</v>
      </c>
      <c r="G72" s="29">
        <v>213.81399999999999</v>
      </c>
      <c r="H72" s="29">
        <v>56.414000000000001</v>
      </c>
      <c r="I72" s="29">
        <v>82.299000000000007</v>
      </c>
      <c r="J72" s="29">
        <v>52.817</v>
      </c>
      <c r="K72" s="29">
        <v>55.125999999999998</v>
      </c>
      <c r="L72" s="29">
        <v>116.57599999999999</v>
      </c>
      <c r="M72" s="29">
        <v>91.856999999999999</v>
      </c>
      <c r="N72" s="29">
        <v>21.675999999999998</v>
      </c>
      <c r="O72" s="29">
        <v>49.465000000000003</v>
      </c>
      <c r="P72" s="29">
        <v>62.210999999999999</v>
      </c>
      <c r="Q72" s="29">
        <v>52.526000000000003</v>
      </c>
      <c r="R72" s="29">
        <v>37.393999999999998</v>
      </c>
    </row>
    <row r="73" spans="1:18" x14ac:dyDescent="0.2">
      <c r="A73" s="8">
        <v>199310</v>
      </c>
      <c r="B73" s="6">
        <f t="shared" si="1"/>
        <v>1993</v>
      </c>
      <c r="C73" s="9">
        <v>34243</v>
      </c>
      <c r="D73" s="29">
        <v>63.953000000000003</v>
      </c>
      <c r="E73" s="29">
        <v>60.347999999999999</v>
      </c>
      <c r="F73" s="29">
        <v>40.862000000000002</v>
      </c>
      <c r="G73" s="29">
        <v>214.63900000000001</v>
      </c>
      <c r="H73" s="29">
        <v>56.609000000000002</v>
      </c>
      <c r="I73" s="29">
        <v>82.162000000000006</v>
      </c>
      <c r="J73" s="29">
        <v>52.726999999999997</v>
      </c>
      <c r="K73" s="29">
        <v>54.805</v>
      </c>
      <c r="L73" s="29">
        <v>116.565</v>
      </c>
      <c r="M73" s="29">
        <v>91.927999999999997</v>
      </c>
      <c r="N73" s="29">
        <v>21.759</v>
      </c>
      <c r="O73" s="29">
        <v>49.628999999999998</v>
      </c>
      <c r="P73" s="29">
        <v>62.213000000000001</v>
      </c>
      <c r="Q73" s="29">
        <v>52.643999999999998</v>
      </c>
      <c r="R73" s="29">
        <v>37.500999999999998</v>
      </c>
    </row>
    <row r="74" spans="1:18" x14ac:dyDescent="0.2">
      <c r="A74" s="8">
        <v>199311</v>
      </c>
      <c r="B74" s="6">
        <f t="shared" si="1"/>
        <v>1993</v>
      </c>
      <c r="C74" s="9">
        <v>34274</v>
      </c>
      <c r="D74" s="29">
        <v>63.845999999999997</v>
      </c>
      <c r="E74" s="29">
        <v>59.918999999999997</v>
      </c>
      <c r="F74" s="29">
        <v>40.594999999999999</v>
      </c>
      <c r="G74" s="29">
        <v>215.05699999999999</v>
      </c>
      <c r="H74" s="29">
        <v>56.604999999999997</v>
      </c>
      <c r="I74" s="29">
        <v>82.54</v>
      </c>
      <c r="J74" s="29">
        <v>55.392000000000003</v>
      </c>
      <c r="K74" s="29">
        <v>53.997</v>
      </c>
      <c r="L74" s="29">
        <v>117.015</v>
      </c>
      <c r="M74" s="29">
        <v>92.222999999999999</v>
      </c>
      <c r="N74" s="29">
        <v>21.824999999999999</v>
      </c>
      <c r="O74" s="29">
        <v>49.701000000000001</v>
      </c>
      <c r="P74" s="29">
        <v>62.338999999999999</v>
      </c>
      <c r="Q74" s="29">
        <v>52.656999999999996</v>
      </c>
      <c r="R74" s="29">
        <v>37.448999999999998</v>
      </c>
    </row>
    <row r="75" spans="1:18" x14ac:dyDescent="0.2">
      <c r="A75" s="8">
        <v>199312</v>
      </c>
      <c r="B75" s="6">
        <f t="shared" si="1"/>
        <v>1993</v>
      </c>
      <c r="C75" s="9">
        <v>34304</v>
      </c>
      <c r="D75" s="29">
        <v>64.02</v>
      </c>
      <c r="E75" s="29">
        <v>60.061999999999998</v>
      </c>
      <c r="F75" s="29">
        <v>40.829000000000001</v>
      </c>
      <c r="G75" s="29">
        <v>214.518</v>
      </c>
      <c r="H75" s="29">
        <v>56.805</v>
      </c>
      <c r="I75" s="29">
        <v>82.864999999999995</v>
      </c>
      <c r="J75" s="29">
        <v>55.167000000000002</v>
      </c>
      <c r="K75" s="29">
        <v>54.395000000000003</v>
      </c>
      <c r="L75" s="29">
        <v>116.85</v>
      </c>
      <c r="M75" s="29">
        <v>92.3</v>
      </c>
      <c r="N75" s="29">
        <v>21.852</v>
      </c>
      <c r="O75" s="29">
        <v>49.813000000000002</v>
      </c>
      <c r="P75" s="29">
        <v>61.938000000000002</v>
      </c>
      <c r="Q75" s="29">
        <v>52.665999999999997</v>
      </c>
      <c r="R75" s="29">
        <v>37.4</v>
      </c>
    </row>
    <row r="76" spans="1:18" x14ac:dyDescent="0.2">
      <c r="A76" s="8">
        <v>199401</v>
      </c>
      <c r="B76" s="6">
        <f t="shared" si="1"/>
        <v>1993</v>
      </c>
      <c r="C76" s="9">
        <v>34335</v>
      </c>
      <c r="D76" s="29">
        <v>63.965000000000003</v>
      </c>
      <c r="E76" s="29">
        <v>60.366</v>
      </c>
      <c r="F76" s="29">
        <v>41.755000000000003</v>
      </c>
      <c r="G76" s="29">
        <v>202.95699999999999</v>
      </c>
      <c r="H76" s="29">
        <v>57.073999999999998</v>
      </c>
      <c r="I76" s="29">
        <v>80.652000000000001</v>
      </c>
      <c r="J76" s="29">
        <v>52.863</v>
      </c>
      <c r="K76" s="29">
        <v>54.787999999999997</v>
      </c>
      <c r="L76" s="29">
        <v>113.923</v>
      </c>
      <c r="M76" s="29">
        <v>92.093000000000004</v>
      </c>
      <c r="N76" s="29">
        <v>21.968</v>
      </c>
      <c r="O76" s="29">
        <v>49.884</v>
      </c>
      <c r="P76" s="29">
        <v>62.148000000000003</v>
      </c>
      <c r="Q76" s="29">
        <v>52.621000000000002</v>
      </c>
      <c r="R76" s="29">
        <v>37.305999999999997</v>
      </c>
    </row>
    <row r="77" spans="1:18" x14ac:dyDescent="0.2">
      <c r="A77" s="8">
        <v>199402</v>
      </c>
      <c r="B77" s="6">
        <f t="shared" si="1"/>
        <v>1993</v>
      </c>
      <c r="C77" s="9">
        <v>34366</v>
      </c>
      <c r="D77" s="29">
        <v>64.245999999999995</v>
      </c>
      <c r="E77" s="29">
        <v>60.722000000000001</v>
      </c>
      <c r="F77" s="29">
        <v>41.927999999999997</v>
      </c>
      <c r="G77" s="29">
        <v>205.86699999999999</v>
      </c>
      <c r="H77" s="29">
        <v>57.204000000000001</v>
      </c>
      <c r="I77" s="29">
        <v>81.004000000000005</v>
      </c>
      <c r="J77" s="29">
        <v>55.390999999999998</v>
      </c>
      <c r="K77" s="29">
        <v>55.164999999999999</v>
      </c>
      <c r="L77" s="29">
        <v>113.518</v>
      </c>
      <c r="M77" s="29">
        <v>92.251000000000005</v>
      </c>
      <c r="N77" s="29">
        <v>21.986999999999998</v>
      </c>
      <c r="O77" s="29">
        <v>49.972000000000001</v>
      </c>
      <c r="P77" s="29">
        <v>62.506</v>
      </c>
      <c r="Q77" s="29">
        <v>52.637</v>
      </c>
      <c r="R77" s="29">
        <v>37.146000000000001</v>
      </c>
    </row>
    <row r="78" spans="1:18" x14ac:dyDescent="0.2">
      <c r="A78" s="8">
        <v>199403</v>
      </c>
      <c r="B78" s="6">
        <f t="shared" si="1"/>
        <v>1993</v>
      </c>
      <c r="C78" s="9">
        <v>34394</v>
      </c>
      <c r="D78" s="29">
        <v>64.423000000000002</v>
      </c>
      <c r="E78" s="29">
        <v>61.122</v>
      </c>
      <c r="F78" s="29">
        <v>41.854999999999997</v>
      </c>
      <c r="G78" s="29">
        <v>208.43</v>
      </c>
      <c r="H78" s="29">
        <v>57.243000000000002</v>
      </c>
      <c r="I78" s="29">
        <v>81.924999999999997</v>
      </c>
      <c r="J78" s="29">
        <v>52.984000000000002</v>
      </c>
      <c r="K78" s="29">
        <v>55.481999999999999</v>
      </c>
      <c r="L78" s="29">
        <v>111.276</v>
      </c>
      <c r="M78" s="29">
        <v>92.319000000000003</v>
      </c>
      <c r="N78" s="29">
        <v>22.009</v>
      </c>
      <c r="O78" s="29">
        <v>50.075000000000003</v>
      </c>
      <c r="P78" s="29">
        <v>62.701999999999998</v>
      </c>
      <c r="Q78" s="29">
        <v>52.62</v>
      </c>
      <c r="R78" s="29">
        <v>37.036000000000001</v>
      </c>
    </row>
    <row r="79" spans="1:18" x14ac:dyDescent="0.2">
      <c r="A79" s="8">
        <v>199404</v>
      </c>
      <c r="B79" s="6">
        <f t="shared" si="1"/>
        <v>1994</v>
      </c>
      <c r="C79" s="9">
        <v>34425</v>
      </c>
      <c r="D79" s="29">
        <v>64.933000000000007</v>
      </c>
      <c r="E79" s="29">
        <v>61.304000000000002</v>
      </c>
      <c r="F79" s="29">
        <v>42.000999999999998</v>
      </c>
      <c r="G79" s="29">
        <v>208.43899999999999</v>
      </c>
      <c r="H79" s="29">
        <v>58.332999999999998</v>
      </c>
      <c r="I79" s="29">
        <v>81.643000000000001</v>
      </c>
      <c r="J79" s="29">
        <v>53.540999999999997</v>
      </c>
      <c r="K79" s="29">
        <v>55.698</v>
      </c>
      <c r="L79" s="29">
        <v>111.747</v>
      </c>
      <c r="M79" s="29">
        <v>92.653999999999996</v>
      </c>
      <c r="N79" s="29">
        <v>22.074999999999999</v>
      </c>
      <c r="O79" s="29">
        <v>50.252000000000002</v>
      </c>
      <c r="P79" s="29">
        <v>62.601999999999997</v>
      </c>
      <c r="Q79" s="29">
        <v>54.832000000000001</v>
      </c>
      <c r="R79" s="29">
        <v>39.969000000000001</v>
      </c>
    </row>
    <row r="80" spans="1:18" x14ac:dyDescent="0.2">
      <c r="A80" s="8">
        <v>199405</v>
      </c>
      <c r="B80" s="6">
        <f t="shared" si="1"/>
        <v>1994</v>
      </c>
      <c r="C80" s="9">
        <v>34455</v>
      </c>
      <c r="D80" s="29">
        <v>65.066000000000003</v>
      </c>
      <c r="E80" s="29">
        <v>61.823999999999998</v>
      </c>
      <c r="F80" s="29">
        <v>42.094999999999999</v>
      </c>
      <c r="G80" s="29">
        <v>208.416</v>
      </c>
      <c r="H80" s="29">
        <v>58.247999999999998</v>
      </c>
      <c r="I80" s="29">
        <v>81.793000000000006</v>
      </c>
      <c r="J80" s="29">
        <v>56.411000000000001</v>
      </c>
      <c r="K80" s="29">
        <v>55.941000000000003</v>
      </c>
      <c r="L80" s="29">
        <v>111.759</v>
      </c>
      <c r="M80" s="29">
        <v>92.79</v>
      </c>
      <c r="N80" s="29">
        <v>22.131</v>
      </c>
      <c r="O80" s="29">
        <v>50.350999999999999</v>
      </c>
      <c r="P80" s="29">
        <v>62.683</v>
      </c>
      <c r="Q80" s="29">
        <v>54.875999999999998</v>
      </c>
      <c r="R80" s="29">
        <v>39.802</v>
      </c>
    </row>
    <row r="81" spans="1:18" x14ac:dyDescent="0.2">
      <c r="A81" s="8">
        <v>199406</v>
      </c>
      <c r="B81" s="6">
        <f t="shared" si="1"/>
        <v>1994</v>
      </c>
      <c r="C81" s="9">
        <v>34486</v>
      </c>
      <c r="D81" s="29">
        <v>65.061000000000007</v>
      </c>
      <c r="E81" s="29">
        <v>61.790999999999997</v>
      </c>
      <c r="F81" s="29">
        <v>42.042000000000002</v>
      </c>
      <c r="G81" s="29">
        <v>208.071</v>
      </c>
      <c r="H81" s="29">
        <v>58.238</v>
      </c>
      <c r="I81" s="29">
        <v>81.644999999999996</v>
      </c>
      <c r="J81" s="29">
        <v>54.281999999999996</v>
      </c>
      <c r="K81" s="29">
        <v>55.965000000000003</v>
      </c>
      <c r="L81" s="29">
        <v>111.672</v>
      </c>
      <c r="M81" s="29">
        <v>92.825999999999993</v>
      </c>
      <c r="N81" s="29">
        <v>22.167999999999999</v>
      </c>
      <c r="O81" s="29">
        <v>50.622999999999998</v>
      </c>
      <c r="P81" s="29">
        <v>62.8</v>
      </c>
      <c r="Q81" s="29">
        <v>54.856999999999999</v>
      </c>
      <c r="R81" s="29">
        <v>39.744</v>
      </c>
    </row>
    <row r="82" spans="1:18" x14ac:dyDescent="0.2">
      <c r="A82" s="8">
        <v>199407</v>
      </c>
      <c r="B82" s="6">
        <f t="shared" si="1"/>
        <v>1994</v>
      </c>
      <c r="C82" s="9">
        <v>34516</v>
      </c>
      <c r="D82" s="29">
        <v>64.738</v>
      </c>
      <c r="E82" s="29">
        <v>61.432000000000002</v>
      </c>
      <c r="F82" s="29">
        <v>42.036999999999999</v>
      </c>
      <c r="G82" s="29">
        <v>199.185</v>
      </c>
      <c r="H82" s="29">
        <v>58.223999999999997</v>
      </c>
      <c r="I82" s="29">
        <v>79.997</v>
      </c>
      <c r="J82" s="29">
        <v>54.210999999999999</v>
      </c>
      <c r="K82" s="29">
        <v>55.863</v>
      </c>
      <c r="L82" s="29">
        <v>111.227</v>
      </c>
      <c r="M82" s="29">
        <v>92.349000000000004</v>
      </c>
      <c r="N82" s="29">
        <v>22.207000000000001</v>
      </c>
      <c r="O82" s="29">
        <v>50.841000000000001</v>
      </c>
      <c r="P82" s="29">
        <v>62.517000000000003</v>
      </c>
      <c r="Q82" s="29">
        <v>54.914999999999999</v>
      </c>
      <c r="R82" s="29">
        <v>39.816000000000003</v>
      </c>
    </row>
    <row r="83" spans="1:18" x14ac:dyDescent="0.2">
      <c r="A83" s="8">
        <v>199408</v>
      </c>
      <c r="B83" s="6">
        <f t="shared" si="1"/>
        <v>1994</v>
      </c>
      <c r="C83" s="9">
        <v>34547</v>
      </c>
      <c r="D83" s="29">
        <v>65.09</v>
      </c>
      <c r="E83" s="29">
        <v>61.62</v>
      </c>
      <c r="F83" s="29">
        <v>42.009</v>
      </c>
      <c r="G83" s="29">
        <v>203.70599999999999</v>
      </c>
      <c r="H83" s="29">
        <v>58.463000000000001</v>
      </c>
      <c r="I83" s="29">
        <v>81.198999999999998</v>
      </c>
      <c r="J83" s="29">
        <v>56.319000000000003</v>
      </c>
      <c r="K83" s="29">
        <v>56.098999999999997</v>
      </c>
      <c r="L83" s="29">
        <v>111.277</v>
      </c>
      <c r="M83" s="29">
        <v>92.625</v>
      </c>
      <c r="N83" s="29">
        <v>22.216999999999999</v>
      </c>
      <c r="O83" s="29">
        <v>51.030999999999999</v>
      </c>
      <c r="P83" s="29">
        <v>62.859000000000002</v>
      </c>
      <c r="Q83" s="29">
        <v>54.948999999999998</v>
      </c>
      <c r="R83" s="29">
        <v>39.906999999999996</v>
      </c>
    </row>
    <row r="84" spans="1:18" x14ac:dyDescent="0.2">
      <c r="A84" s="8">
        <v>199409</v>
      </c>
      <c r="B84" s="6">
        <f t="shared" si="1"/>
        <v>1994</v>
      </c>
      <c r="C84" s="9">
        <v>34578</v>
      </c>
      <c r="D84" s="29">
        <v>65.197999999999993</v>
      </c>
      <c r="E84" s="29">
        <v>61.024000000000001</v>
      </c>
      <c r="F84" s="29">
        <v>42.055999999999997</v>
      </c>
      <c r="G84" s="29">
        <v>209.51599999999999</v>
      </c>
      <c r="H84" s="29">
        <v>58.582000000000001</v>
      </c>
      <c r="I84" s="29">
        <v>81.53</v>
      </c>
      <c r="J84" s="29">
        <v>55.956000000000003</v>
      </c>
      <c r="K84" s="29">
        <v>56.015999999999998</v>
      </c>
      <c r="L84" s="29">
        <v>110.64400000000001</v>
      </c>
      <c r="M84" s="29">
        <v>92.712999999999994</v>
      </c>
      <c r="N84" s="29">
        <v>23.07</v>
      </c>
      <c r="O84" s="29">
        <v>51.155999999999999</v>
      </c>
      <c r="P84" s="29">
        <v>62.945999999999998</v>
      </c>
      <c r="Q84" s="29">
        <v>54.994</v>
      </c>
      <c r="R84" s="29">
        <v>39.890999999999998</v>
      </c>
    </row>
    <row r="85" spans="1:18" x14ac:dyDescent="0.2">
      <c r="A85" s="8">
        <v>199410</v>
      </c>
      <c r="B85" s="6">
        <f t="shared" si="1"/>
        <v>1994</v>
      </c>
      <c r="C85" s="9">
        <v>34608</v>
      </c>
      <c r="D85" s="29">
        <v>65.102000000000004</v>
      </c>
      <c r="E85" s="29">
        <v>60.906999999999996</v>
      </c>
      <c r="F85" s="29">
        <v>41.991</v>
      </c>
      <c r="G85" s="29">
        <v>209.16399999999999</v>
      </c>
      <c r="H85" s="29">
        <v>58.54</v>
      </c>
      <c r="I85" s="29">
        <v>81.403999999999996</v>
      </c>
      <c r="J85" s="29">
        <v>54.6</v>
      </c>
      <c r="K85" s="29">
        <v>55.65</v>
      </c>
      <c r="L85" s="29">
        <v>108.233</v>
      </c>
      <c r="M85" s="29">
        <v>92.978999999999999</v>
      </c>
      <c r="N85" s="29">
        <v>23.062000000000001</v>
      </c>
      <c r="O85" s="29">
        <v>51.328000000000003</v>
      </c>
      <c r="P85" s="29">
        <v>62.963999999999999</v>
      </c>
      <c r="Q85" s="29">
        <v>55.012</v>
      </c>
      <c r="R85" s="29">
        <v>39.844999999999999</v>
      </c>
    </row>
    <row r="86" spans="1:18" x14ac:dyDescent="0.2">
      <c r="A86" s="8">
        <v>199411</v>
      </c>
      <c r="B86" s="6">
        <f t="shared" si="1"/>
        <v>1994</v>
      </c>
      <c r="C86" s="9">
        <v>34639</v>
      </c>
      <c r="D86" s="29">
        <v>65.206000000000003</v>
      </c>
      <c r="E86" s="29">
        <v>61.115000000000002</v>
      </c>
      <c r="F86" s="29">
        <v>41.741999999999997</v>
      </c>
      <c r="G86" s="29">
        <v>210.34800000000001</v>
      </c>
      <c r="H86" s="29">
        <v>58.685000000000002</v>
      </c>
      <c r="I86" s="29">
        <v>82.1</v>
      </c>
      <c r="J86" s="29">
        <v>54.319000000000003</v>
      </c>
      <c r="K86" s="29">
        <v>55.427999999999997</v>
      </c>
      <c r="L86" s="29">
        <v>108.267</v>
      </c>
      <c r="M86" s="29">
        <v>93.055000000000007</v>
      </c>
      <c r="N86" s="29">
        <v>23.152999999999999</v>
      </c>
      <c r="O86" s="29">
        <v>51.433999999999997</v>
      </c>
      <c r="P86" s="29">
        <v>63.08</v>
      </c>
      <c r="Q86" s="29">
        <v>55.033999999999999</v>
      </c>
      <c r="R86" s="29">
        <v>39.802</v>
      </c>
    </row>
    <row r="87" spans="1:18" x14ac:dyDescent="0.2">
      <c r="A87" s="8">
        <v>199412</v>
      </c>
      <c r="B87" s="6">
        <f t="shared" si="1"/>
        <v>1994</v>
      </c>
      <c r="C87" s="9">
        <v>34669</v>
      </c>
      <c r="D87" s="29">
        <v>65.456000000000003</v>
      </c>
      <c r="E87" s="29">
        <v>61.567</v>
      </c>
      <c r="F87" s="29">
        <v>41.884999999999998</v>
      </c>
      <c r="G87" s="29">
        <v>210.58199999999999</v>
      </c>
      <c r="H87" s="29">
        <v>58.828000000000003</v>
      </c>
      <c r="I87" s="29">
        <v>82.623999999999995</v>
      </c>
      <c r="J87" s="29">
        <v>55.59</v>
      </c>
      <c r="K87" s="29">
        <v>55.859000000000002</v>
      </c>
      <c r="L87" s="29">
        <v>108.239</v>
      </c>
      <c r="M87" s="29">
        <v>93.13</v>
      </c>
      <c r="N87" s="29">
        <v>23.21</v>
      </c>
      <c r="O87" s="29">
        <v>51.578000000000003</v>
      </c>
      <c r="P87" s="29">
        <v>63.17</v>
      </c>
      <c r="Q87" s="29">
        <v>55.106000000000002</v>
      </c>
      <c r="R87" s="29">
        <v>39.793999999999997</v>
      </c>
    </row>
    <row r="88" spans="1:18" x14ac:dyDescent="0.2">
      <c r="A88" s="8">
        <v>199501</v>
      </c>
      <c r="B88" s="6">
        <f t="shared" si="1"/>
        <v>1994</v>
      </c>
      <c r="C88" s="9">
        <v>34700</v>
      </c>
      <c r="D88" s="29">
        <v>65.480999999999995</v>
      </c>
      <c r="E88" s="29">
        <v>62.152000000000001</v>
      </c>
      <c r="F88" s="29">
        <v>43.014000000000003</v>
      </c>
      <c r="G88" s="29">
        <v>200.09299999999999</v>
      </c>
      <c r="H88" s="29">
        <v>58.886000000000003</v>
      </c>
      <c r="I88" s="29">
        <v>80.861999999999995</v>
      </c>
      <c r="J88" s="29">
        <v>54.366999999999997</v>
      </c>
      <c r="K88" s="29">
        <v>56.26</v>
      </c>
      <c r="L88" s="29">
        <v>108.282</v>
      </c>
      <c r="M88" s="29">
        <v>93.197000000000003</v>
      </c>
      <c r="N88" s="29">
        <v>23.257999999999999</v>
      </c>
      <c r="O88" s="29">
        <v>51.917999999999999</v>
      </c>
      <c r="P88" s="29">
        <v>62.988</v>
      </c>
      <c r="Q88" s="29">
        <v>55.167000000000002</v>
      </c>
      <c r="R88" s="29">
        <v>39.880000000000003</v>
      </c>
    </row>
    <row r="89" spans="1:18" x14ac:dyDescent="0.2">
      <c r="A89" s="8">
        <v>199502</v>
      </c>
      <c r="B89" s="6">
        <f t="shared" si="1"/>
        <v>1994</v>
      </c>
      <c r="C89" s="9">
        <v>34731</v>
      </c>
      <c r="D89" s="29">
        <v>65.716999999999999</v>
      </c>
      <c r="E89" s="29">
        <v>62.491999999999997</v>
      </c>
      <c r="F89" s="29">
        <v>43.573</v>
      </c>
      <c r="G89" s="29">
        <v>200.92599999999999</v>
      </c>
      <c r="H89" s="29">
        <v>58.951999999999998</v>
      </c>
      <c r="I89" s="29">
        <v>81.822000000000003</v>
      </c>
      <c r="J89" s="29">
        <v>53.843000000000004</v>
      </c>
      <c r="K89" s="29">
        <v>56.536999999999999</v>
      </c>
      <c r="L89" s="29">
        <v>108.5</v>
      </c>
      <c r="M89" s="29">
        <v>93.197999999999993</v>
      </c>
      <c r="N89" s="29">
        <v>23.303999999999998</v>
      </c>
      <c r="O89" s="29">
        <v>52.125999999999998</v>
      </c>
      <c r="P89" s="29">
        <v>63.066000000000003</v>
      </c>
      <c r="Q89" s="29">
        <v>55.171999999999997</v>
      </c>
      <c r="R89" s="29">
        <v>39.936</v>
      </c>
    </row>
    <row r="90" spans="1:18" x14ac:dyDescent="0.2">
      <c r="A90" s="8">
        <v>199503</v>
      </c>
      <c r="B90" s="6">
        <f t="shared" si="1"/>
        <v>1994</v>
      </c>
      <c r="C90" s="9">
        <v>34759</v>
      </c>
      <c r="D90" s="29">
        <v>65.997</v>
      </c>
      <c r="E90" s="29">
        <v>62.941000000000003</v>
      </c>
      <c r="F90" s="29">
        <v>43.695999999999998</v>
      </c>
      <c r="G90" s="29">
        <v>203.03200000000001</v>
      </c>
      <c r="H90" s="29">
        <v>59.008000000000003</v>
      </c>
      <c r="I90" s="29">
        <v>82.718999999999994</v>
      </c>
      <c r="J90" s="29">
        <v>55.438000000000002</v>
      </c>
      <c r="K90" s="29">
        <v>56.988</v>
      </c>
      <c r="L90" s="29">
        <v>108.931</v>
      </c>
      <c r="M90" s="29">
        <v>93.376999999999995</v>
      </c>
      <c r="N90" s="29">
        <v>23.303999999999998</v>
      </c>
      <c r="O90" s="29">
        <v>52.280999999999999</v>
      </c>
      <c r="P90" s="29">
        <v>63.298999999999999</v>
      </c>
      <c r="Q90" s="29">
        <v>55.1</v>
      </c>
      <c r="R90" s="29">
        <v>39.954999999999998</v>
      </c>
    </row>
    <row r="91" spans="1:18" x14ac:dyDescent="0.2">
      <c r="A91" s="8">
        <v>199504</v>
      </c>
      <c r="B91" s="6">
        <f t="shared" si="1"/>
        <v>1995</v>
      </c>
      <c r="C91" s="9">
        <v>34790</v>
      </c>
      <c r="D91" s="29">
        <v>66.424999999999997</v>
      </c>
      <c r="E91" s="29">
        <v>62.899000000000001</v>
      </c>
      <c r="F91" s="29">
        <v>43.872</v>
      </c>
      <c r="G91" s="29">
        <v>204.41900000000001</v>
      </c>
      <c r="H91" s="29">
        <v>59.814</v>
      </c>
      <c r="I91" s="29">
        <v>82.581000000000003</v>
      </c>
      <c r="J91" s="29">
        <v>55.165999999999997</v>
      </c>
      <c r="K91" s="29">
        <v>57.39</v>
      </c>
      <c r="L91" s="29">
        <v>109.145</v>
      </c>
      <c r="M91" s="29">
        <v>93.688999999999993</v>
      </c>
      <c r="N91" s="29">
        <v>23.303999999999998</v>
      </c>
      <c r="O91" s="29">
        <v>52.432000000000002</v>
      </c>
      <c r="P91" s="29">
        <v>63.362000000000002</v>
      </c>
      <c r="Q91" s="29">
        <v>57.677</v>
      </c>
      <c r="R91" s="29">
        <v>40.052</v>
      </c>
    </row>
    <row r="92" spans="1:18" x14ac:dyDescent="0.2">
      <c r="A92" s="8">
        <v>199505</v>
      </c>
      <c r="B92" s="6">
        <f t="shared" si="1"/>
        <v>1995</v>
      </c>
      <c r="C92" s="9">
        <v>34820</v>
      </c>
      <c r="D92" s="29">
        <v>66.733999999999995</v>
      </c>
      <c r="E92" s="29">
        <v>63.911000000000001</v>
      </c>
      <c r="F92" s="29">
        <v>44.183999999999997</v>
      </c>
      <c r="G92" s="29">
        <v>205.26499999999999</v>
      </c>
      <c r="H92" s="29">
        <v>59.978000000000002</v>
      </c>
      <c r="I92" s="29">
        <v>83.245000000000005</v>
      </c>
      <c r="J92" s="29">
        <v>55.725000000000001</v>
      </c>
      <c r="K92" s="29">
        <v>57.448</v>
      </c>
      <c r="L92" s="29">
        <v>109.256</v>
      </c>
      <c r="M92" s="29">
        <v>93.763000000000005</v>
      </c>
      <c r="N92" s="29">
        <v>23.350999999999999</v>
      </c>
      <c r="O92" s="29">
        <v>52.585999999999999</v>
      </c>
      <c r="P92" s="29">
        <v>63.637999999999998</v>
      </c>
      <c r="Q92" s="29">
        <v>57.802999999999997</v>
      </c>
      <c r="R92" s="29">
        <v>39.929000000000002</v>
      </c>
    </row>
    <row r="93" spans="1:18" x14ac:dyDescent="0.2">
      <c r="A93" s="8">
        <v>199506</v>
      </c>
      <c r="B93" s="6">
        <f t="shared" si="1"/>
        <v>1995</v>
      </c>
      <c r="C93" s="9">
        <v>34851</v>
      </c>
      <c r="D93" s="29">
        <v>66.81</v>
      </c>
      <c r="E93" s="29">
        <v>63.651000000000003</v>
      </c>
      <c r="F93" s="29">
        <v>44.182000000000002</v>
      </c>
      <c r="G93" s="29">
        <v>204.66200000000001</v>
      </c>
      <c r="H93" s="29">
        <v>60.039000000000001</v>
      </c>
      <c r="I93" s="29">
        <v>83.033000000000001</v>
      </c>
      <c r="J93" s="29">
        <v>55.188000000000002</v>
      </c>
      <c r="K93" s="29">
        <v>57.892000000000003</v>
      </c>
      <c r="L93" s="29">
        <v>109.146</v>
      </c>
      <c r="M93" s="29">
        <v>94</v>
      </c>
      <c r="N93" s="29">
        <v>23.350999999999999</v>
      </c>
      <c r="O93" s="29">
        <v>52.902000000000001</v>
      </c>
      <c r="P93" s="29">
        <v>63.646999999999998</v>
      </c>
      <c r="Q93" s="29">
        <v>57.881999999999998</v>
      </c>
      <c r="R93" s="29">
        <v>39.912999999999997</v>
      </c>
    </row>
    <row r="94" spans="1:18" x14ac:dyDescent="0.2">
      <c r="A94" s="8">
        <v>199507</v>
      </c>
      <c r="B94" s="6">
        <f t="shared" si="1"/>
        <v>1995</v>
      </c>
      <c r="C94" s="9">
        <v>34881</v>
      </c>
      <c r="D94" s="29">
        <v>66.578999999999994</v>
      </c>
      <c r="E94" s="29">
        <v>63.210999999999999</v>
      </c>
      <c r="F94" s="29">
        <v>44.226999999999997</v>
      </c>
      <c r="G94" s="29">
        <v>195.351</v>
      </c>
      <c r="H94" s="29">
        <v>60.073</v>
      </c>
      <c r="I94" s="29">
        <v>82.007999999999996</v>
      </c>
      <c r="J94" s="29">
        <v>55.351999999999997</v>
      </c>
      <c r="K94" s="29">
        <v>57.898000000000003</v>
      </c>
      <c r="L94" s="29">
        <v>106.33</v>
      </c>
      <c r="M94" s="29">
        <v>94.275999999999996</v>
      </c>
      <c r="N94" s="29">
        <v>23.396999999999998</v>
      </c>
      <c r="O94" s="29">
        <v>53.116</v>
      </c>
      <c r="P94" s="29">
        <v>63.418999999999997</v>
      </c>
      <c r="Q94" s="29">
        <v>57.862000000000002</v>
      </c>
      <c r="R94" s="29">
        <v>39.923000000000002</v>
      </c>
    </row>
    <row r="95" spans="1:18" x14ac:dyDescent="0.2">
      <c r="A95" s="8">
        <v>199508</v>
      </c>
      <c r="B95" s="6">
        <f t="shared" si="1"/>
        <v>1995</v>
      </c>
      <c r="C95" s="9">
        <v>34912</v>
      </c>
      <c r="D95" s="29">
        <v>66.858000000000004</v>
      </c>
      <c r="E95" s="29">
        <v>64.230999999999995</v>
      </c>
      <c r="F95" s="29">
        <v>44.100999999999999</v>
      </c>
      <c r="G95" s="29">
        <v>198.01900000000001</v>
      </c>
      <c r="H95" s="29">
        <v>60.225000000000001</v>
      </c>
      <c r="I95" s="29">
        <v>82.926000000000002</v>
      </c>
      <c r="J95" s="29">
        <v>55.402999999999999</v>
      </c>
      <c r="K95" s="29">
        <v>57.637</v>
      </c>
      <c r="L95" s="29">
        <v>106.44</v>
      </c>
      <c r="M95" s="29">
        <v>94.492000000000004</v>
      </c>
      <c r="N95" s="29">
        <v>23.396999999999998</v>
      </c>
      <c r="O95" s="29">
        <v>53.274000000000001</v>
      </c>
      <c r="P95" s="29">
        <v>63.738999999999997</v>
      </c>
      <c r="Q95" s="29">
        <v>57.92</v>
      </c>
      <c r="R95" s="29">
        <v>39.914999999999999</v>
      </c>
    </row>
    <row r="96" spans="1:18" x14ac:dyDescent="0.2">
      <c r="A96" s="8">
        <v>199509</v>
      </c>
      <c r="B96" s="6">
        <f t="shared" si="1"/>
        <v>1995</v>
      </c>
      <c r="C96" s="9">
        <v>34943</v>
      </c>
      <c r="D96" s="29">
        <v>67.161000000000001</v>
      </c>
      <c r="E96" s="29">
        <v>64.41</v>
      </c>
      <c r="F96" s="29">
        <v>44.145000000000003</v>
      </c>
      <c r="G96" s="29">
        <v>205.51499999999999</v>
      </c>
      <c r="H96" s="29">
        <v>60.45</v>
      </c>
      <c r="I96" s="29">
        <v>83.608999999999995</v>
      </c>
      <c r="J96" s="29">
        <v>56.534999999999997</v>
      </c>
      <c r="K96" s="29">
        <v>57.500999999999998</v>
      </c>
      <c r="L96" s="29">
        <v>106.441</v>
      </c>
      <c r="M96" s="29">
        <v>94.817999999999998</v>
      </c>
      <c r="N96" s="29">
        <v>24.053000000000001</v>
      </c>
      <c r="O96" s="29">
        <v>53.32</v>
      </c>
      <c r="P96" s="29">
        <v>63.993000000000002</v>
      </c>
      <c r="Q96" s="29">
        <v>58.052</v>
      </c>
      <c r="R96" s="29">
        <v>40.057000000000002</v>
      </c>
    </row>
    <row r="97" spans="1:18" x14ac:dyDescent="0.2">
      <c r="A97" s="8">
        <v>199510</v>
      </c>
      <c r="B97" s="6">
        <f t="shared" si="1"/>
        <v>1995</v>
      </c>
      <c r="C97" s="9">
        <v>34973</v>
      </c>
      <c r="D97" s="29">
        <v>67.069000000000003</v>
      </c>
      <c r="E97" s="29">
        <v>63.625</v>
      </c>
      <c r="F97" s="29">
        <v>44.314</v>
      </c>
      <c r="G97" s="29">
        <v>205.74799999999999</v>
      </c>
      <c r="H97" s="29">
        <v>60.572000000000003</v>
      </c>
      <c r="I97" s="29">
        <v>83.7</v>
      </c>
      <c r="J97" s="29">
        <v>55.93</v>
      </c>
      <c r="K97" s="29">
        <v>57.017000000000003</v>
      </c>
      <c r="L97" s="29">
        <v>106.657</v>
      </c>
      <c r="M97" s="29">
        <v>94.832999999999998</v>
      </c>
      <c r="N97" s="29">
        <v>24.053000000000001</v>
      </c>
      <c r="O97" s="29">
        <v>53.478000000000002</v>
      </c>
      <c r="P97" s="29">
        <v>63.698</v>
      </c>
      <c r="Q97" s="29">
        <v>58.04</v>
      </c>
      <c r="R97" s="29">
        <v>40.003</v>
      </c>
    </row>
    <row r="98" spans="1:18" x14ac:dyDescent="0.2">
      <c r="A98" s="8">
        <v>199511</v>
      </c>
      <c r="B98" s="6">
        <f t="shared" si="1"/>
        <v>1995</v>
      </c>
      <c r="C98" s="9">
        <v>35004</v>
      </c>
      <c r="D98" s="29">
        <v>67.097999999999999</v>
      </c>
      <c r="E98" s="29">
        <v>63.689</v>
      </c>
      <c r="F98" s="29">
        <v>44.003999999999998</v>
      </c>
      <c r="G98" s="29">
        <v>206.75299999999999</v>
      </c>
      <c r="H98" s="29">
        <v>60.665999999999997</v>
      </c>
      <c r="I98" s="29">
        <v>84.373999999999995</v>
      </c>
      <c r="J98" s="29">
        <v>55.859000000000002</v>
      </c>
      <c r="K98" s="29">
        <v>56.524999999999999</v>
      </c>
      <c r="L98" s="29">
        <v>106.55</v>
      </c>
      <c r="M98" s="29">
        <v>94.846000000000004</v>
      </c>
      <c r="N98" s="29">
        <v>24.100999999999999</v>
      </c>
      <c r="O98" s="29">
        <v>53.639000000000003</v>
      </c>
      <c r="P98" s="29">
        <v>63.896999999999998</v>
      </c>
      <c r="Q98" s="29">
        <v>58.082000000000001</v>
      </c>
      <c r="R98" s="29">
        <v>40.029000000000003</v>
      </c>
    </row>
    <row r="99" spans="1:18" x14ac:dyDescent="0.2">
      <c r="A99" s="8">
        <v>199512</v>
      </c>
      <c r="B99" s="6">
        <f t="shared" si="1"/>
        <v>1995</v>
      </c>
      <c r="C99" s="9">
        <v>35034</v>
      </c>
      <c r="D99" s="29">
        <v>67.486999999999995</v>
      </c>
      <c r="E99" s="29">
        <v>64.254000000000005</v>
      </c>
      <c r="F99" s="29">
        <v>44.148000000000003</v>
      </c>
      <c r="G99" s="29">
        <v>206.95599999999999</v>
      </c>
      <c r="H99" s="29">
        <v>60.918999999999997</v>
      </c>
      <c r="I99" s="29">
        <v>85.212999999999994</v>
      </c>
      <c r="J99" s="29">
        <v>56.226999999999997</v>
      </c>
      <c r="K99" s="29">
        <v>57.500999999999998</v>
      </c>
      <c r="L99" s="29">
        <v>106.76300000000001</v>
      </c>
      <c r="M99" s="29">
        <v>95.165000000000006</v>
      </c>
      <c r="N99" s="29">
        <v>24.149000000000001</v>
      </c>
      <c r="O99" s="29">
        <v>53.692999999999998</v>
      </c>
      <c r="P99" s="29">
        <v>63.914999999999999</v>
      </c>
      <c r="Q99" s="29">
        <v>58.057000000000002</v>
      </c>
      <c r="R99" s="29">
        <v>40.128999999999998</v>
      </c>
    </row>
    <row r="100" spans="1:18" x14ac:dyDescent="0.2">
      <c r="A100" s="8">
        <v>199601</v>
      </c>
      <c r="B100" s="6">
        <f t="shared" si="1"/>
        <v>1995</v>
      </c>
      <c r="C100" s="9">
        <v>35065</v>
      </c>
      <c r="D100" s="29">
        <v>67.385999999999996</v>
      </c>
      <c r="E100" s="29">
        <v>64.653999999999996</v>
      </c>
      <c r="F100" s="29">
        <v>45.101999999999997</v>
      </c>
      <c r="G100" s="29">
        <v>193.99100000000001</v>
      </c>
      <c r="H100" s="29">
        <v>61.127000000000002</v>
      </c>
      <c r="I100" s="29">
        <v>82.522000000000006</v>
      </c>
      <c r="J100" s="29">
        <v>56.607999999999997</v>
      </c>
      <c r="K100" s="29">
        <v>58.154000000000003</v>
      </c>
      <c r="L100" s="29">
        <v>106.249</v>
      </c>
      <c r="M100" s="29">
        <v>95.012</v>
      </c>
      <c r="N100" s="29">
        <v>24.221</v>
      </c>
      <c r="O100" s="29">
        <v>53.738999999999997</v>
      </c>
      <c r="P100" s="29">
        <v>63.341999999999999</v>
      </c>
      <c r="Q100" s="29">
        <v>58.378</v>
      </c>
      <c r="R100" s="29">
        <v>40.206000000000003</v>
      </c>
    </row>
    <row r="101" spans="1:18" x14ac:dyDescent="0.2">
      <c r="A101" s="8">
        <v>199602</v>
      </c>
      <c r="B101" s="6">
        <f t="shared" si="1"/>
        <v>1995</v>
      </c>
      <c r="C101" s="9">
        <v>35096</v>
      </c>
      <c r="D101" s="29">
        <v>67.716999999999999</v>
      </c>
      <c r="E101" s="29">
        <v>65.381</v>
      </c>
      <c r="F101" s="29">
        <v>45.539000000000001</v>
      </c>
      <c r="G101" s="29">
        <v>194.42500000000001</v>
      </c>
      <c r="H101" s="29">
        <v>61.363</v>
      </c>
      <c r="I101" s="29">
        <v>83.555999999999997</v>
      </c>
      <c r="J101" s="29">
        <v>56.776000000000003</v>
      </c>
      <c r="K101" s="29">
        <v>58.143999999999998</v>
      </c>
      <c r="L101" s="29">
        <v>106.32899999999999</v>
      </c>
      <c r="M101" s="29">
        <v>95.233999999999995</v>
      </c>
      <c r="N101" s="29">
        <v>24.233000000000001</v>
      </c>
      <c r="O101" s="29">
        <v>53.843000000000004</v>
      </c>
      <c r="P101" s="29">
        <v>63.94</v>
      </c>
      <c r="Q101" s="29">
        <v>58.411999999999999</v>
      </c>
      <c r="R101" s="29">
        <v>40.194000000000003</v>
      </c>
    </row>
    <row r="102" spans="1:18" x14ac:dyDescent="0.2">
      <c r="A102" s="8">
        <v>199603</v>
      </c>
      <c r="B102" s="6">
        <f t="shared" si="1"/>
        <v>1995</v>
      </c>
      <c r="C102" s="9">
        <v>35125</v>
      </c>
      <c r="D102" s="29">
        <v>67.944999999999993</v>
      </c>
      <c r="E102" s="29">
        <v>65.882000000000005</v>
      </c>
      <c r="F102" s="29">
        <v>45.616</v>
      </c>
      <c r="G102" s="29">
        <v>196.71199999999999</v>
      </c>
      <c r="H102" s="29">
        <v>61.405999999999999</v>
      </c>
      <c r="I102" s="29">
        <v>84.828000000000003</v>
      </c>
      <c r="J102" s="29">
        <v>57.265000000000001</v>
      </c>
      <c r="K102" s="29">
        <v>58.22</v>
      </c>
      <c r="L102" s="29">
        <v>106.27800000000001</v>
      </c>
      <c r="M102" s="29">
        <v>95.268000000000001</v>
      </c>
      <c r="N102" s="29">
        <v>24.247</v>
      </c>
      <c r="O102" s="29">
        <v>53.945</v>
      </c>
      <c r="P102" s="29">
        <v>64.013999999999996</v>
      </c>
      <c r="Q102" s="29">
        <v>58.462000000000003</v>
      </c>
      <c r="R102" s="29">
        <v>40.229999999999997</v>
      </c>
    </row>
    <row r="103" spans="1:18" x14ac:dyDescent="0.2">
      <c r="A103" s="8">
        <v>199604</v>
      </c>
      <c r="B103" s="6">
        <f t="shared" si="1"/>
        <v>1996</v>
      </c>
      <c r="C103" s="9">
        <v>35156</v>
      </c>
      <c r="D103" s="29">
        <v>68.307000000000002</v>
      </c>
      <c r="E103" s="29">
        <v>65.853999999999999</v>
      </c>
      <c r="F103" s="29">
        <v>45.944000000000003</v>
      </c>
      <c r="G103" s="29">
        <v>197.459</v>
      </c>
      <c r="H103" s="29">
        <v>61.975999999999999</v>
      </c>
      <c r="I103" s="29">
        <v>84.356999999999999</v>
      </c>
      <c r="J103" s="29">
        <v>58.008000000000003</v>
      </c>
      <c r="K103" s="29">
        <v>58.773000000000003</v>
      </c>
      <c r="L103" s="29">
        <v>106.331</v>
      </c>
      <c r="M103" s="29">
        <v>95.728999999999999</v>
      </c>
      <c r="N103" s="29">
        <v>24.286999999999999</v>
      </c>
      <c r="O103" s="29">
        <v>54.14</v>
      </c>
      <c r="P103" s="29">
        <v>64.248999999999995</v>
      </c>
      <c r="Q103" s="29">
        <v>59.968000000000004</v>
      </c>
      <c r="R103" s="29">
        <v>40.265999999999998</v>
      </c>
    </row>
    <row r="104" spans="1:18" x14ac:dyDescent="0.2">
      <c r="A104" s="8">
        <v>199605</v>
      </c>
      <c r="B104" s="6">
        <f t="shared" si="1"/>
        <v>1996</v>
      </c>
      <c r="C104" s="9">
        <v>35186</v>
      </c>
      <c r="D104" s="29">
        <v>68.611999999999995</v>
      </c>
      <c r="E104" s="29">
        <v>66.340999999999994</v>
      </c>
      <c r="F104" s="29">
        <v>46.137</v>
      </c>
      <c r="G104" s="29">
        <v>198.148</v>
      </c>
      <c r="H104" s="29">
        <v>62.378999999999998</v>
      </c>
      <c r="I104" s="29">
        <v>84.863</v>
      </c>
      <c r="J104" s="29">
        <v>57.83</v>
      </c>
      <c r="K104" s="29">
        <v>58.975000000000001</v>
      </c>
      <c r="L104" s="29">
        <v>106.52500000000001</v>
      </c>
      <c r="M104" s="29">
        <v>95.594999999999999</v>
      </c>
      <c r="N104" s="29">
        <v>24.332000000000001</v>
      </c>
      <c r="O104" s="29">
        <v>54.317999999999998</v>
      </c>
      <c r="P104" s="29">
        <v>64.269000000000005</v>
      </c>
      <c r="Q104" s="29">
        <v>60.055</v>
      </c>
      <c r="R104" s="29">
        <v>40.164999999999999</v>
      </c>
    </row>
    <row r="105" spans="1:18" x14ac:dyDescent="0.2">
      <c r="A105" s="8">
        <v>199606</v>
      </c>
      <c r="B105" s="6">
        <f t="shared" si="1"/>
        <v>1996</v>
      </c>
      <c r="C105" s="9">
        <v>35217</v>
      </c>
      <c r="D105" s="29">
        <v>68.658000000000001</v>
      </c>
      <c r="E105" s="29">
        <v>66.265000000000001</v>
      </c>
      <c r="F105" s="29">
        <v>46.19</v>
      </c>
      <c r="G105" s="29">
        <v>198.09299999999999</v>
      </c>
      <c r="H105" s="29">
        <v>62.412999999999997</v>
      </c>
      <c r="I105" s="29">
        <v>84.917000000000002</v>
      </c>
      <c r="J105" s="29">
        <v>57.973999999999997</v>
      </c>
      <c r="K105" s="29">
        <v>59.003999999999998</v>
      </c>
      <c r="L105" s="29">
        <v>106.40900000000001</v>
      </c>
      <c r="M105" s="29">
        <v>95.56</v>
      </c>
      <c r="N105" s="29">
        <v>24.352</v>
      </c>
      <c r="O105" s="29">
        <v>54.668999999999997</v>
      </c>
      <c r="P105" s="29">
        <v>64.221000000000004</v>
      </c>
      <c r="Q105" s="29">
        <v>60.218000000000004</v>
      </c>
      <c r="R105" s="29">
        <v>40.223999999999997</v>
      </c>
    </row>
    <row r="106" spans="1:18" x14ac:dyDescent="0.2">
      <c r="A106" s="8">
        <v>199607</v>
      </c>
      <c r="B106" s="6">
        <f t="shared" si="1"/>
        <v>1996</v>
      </c>
      <c r="C106" s="9">
        <v>35247</v>
      </c>
      <c r="D106" s="29">
        <v>68.346000000000004</v>
      </c>
      <c r="E106" s="29">
        <v>65.341999999999999</v>
      </c>
      <c r="F106" s="29">
        <v>46.286000000000001</v>
      </c>
      <c r="G106" s="29">
        <v>187.53</v>
      </c>
      <c r="H106" s="29">
        <v>62.546999999999997</v>
      </c>
      <c r="I106" s="29">
        <v>83.478999999999999</v>
      </c>
      <c r="J106" s="29">
        <v>58</v>
      </c>
      <c r="K106" s="29">
        <v>58.994</v>
      </c>
      <c r="L106" s="29">
        <v>105.877</v>
      </c>
      <c r="M106" s="29">
        <v>95.418000000000006</v>
      </c>
      <c r="N106" s="29">
        <v>24.416</v>
      </c>
      <c r="O106" s="29">
        <v>54.921999999999997</v>
      </c>
      <c r="P106" s="29">
        <v>64.438000000000002</v>
      </c>
      <c r="Q106" s="29">
        <v>60.344999999999999</v>
      </c>
      <c r="R106" s="29">
        <v>40.259</v>
      </c>
    </row>
    <row r="107" spans="1:18" x14ac:dyDescent="0.2">
      <c r="A107" s="8">
        <v>199608</v>
      </c>
      <c r="B107" s="6">
        <f t="shared" si="1"/>
        <v>1996</v>
      </c>
      <c r="C107" s="9">
        <v>35278</v>
      </c>
      <c r="D107" s="29">
        <v>68.685000000000002</v>
      </c>
      <c r="E107" s="29">
        <v>66.17</v>
      </c>
      <c r="F107" s="29">
        <v>46.167000000000002</v>
      </c>
      <c r="G107" s="29">
        <v>189.78399999999999</v>
      </c>
      <c r="H107" s="29">
        <v>62.704999999999998</v>
      </c>
      <c r="I107" s="29">
        <v>84.332999999999998</v>
      </c>
      <c r="J107" s="29">
        <v>58.198</v>
      </c>
      <c r="K107" s="29">
        <v>59.485999999999997</v>
      </c>
      <c r="L107" s="29">
        <v>106.036</v>
      </c>
      <c r="M107" s="29">
        <v>95.554000000000002</v>
      </c>
      <c r="N107" s="29">
        <v>24.431000000000001</v>
      </c>
      <c r="O107" s="29">
        <v>55.112000000000002</v>
      </c>
      <c r="P107" s="29">
        <v>64.352999999999994</v>
      </c>
      <c r="Q107" s="29">
        <v>60.42</v>
      </c>
      <c r="R107" s="29">
        <v>40.195</v>
      </c>
    </row>
    <row r="108" spans="1:18" x14ac:dyDescent="0.2">
      <c r="A108" s="8">
        <v>199609</v>
      </c>
      <c r="B108" s="6">
        <f t="shared" si="1"/>
        <v>1996</v>
      </c>
      <c r="C108" s="9">
        <v>35309</v>
      </c>
      <c r="D108" s="29">
        <v>69.001999999999995</v>
      </c>
      <c r="E108" s="29">
        <v>65.457999999999998</v>
      </c>
      <c r="F108" s="29">
        <v>46.24</v>
      </c>
      <c r="G108" s="29">
        <v>198.887</v>
      </c>
      <c r="H108" s="29">
        <v>62.875999999999998</v>
      </c>
      <c r="I108" s="29">
        <v>84.884</v>
      </c>
      <c r="J108" s="29">
        <v>58.433</v>
      </c>
      <c r="K108" s="29">
        <v>60.238999999999997</v>
      </c>
      <c r="L108" s="29">
        <v>105.996</v>
      </c>
      <c r="M108" s="29">
        <v>95.516999999999996</v>
      </c>
      <c r="N108" s="29">
        <v>25.044</v>
      </c>
      <c r="O108" s="29">
        <v>55.241999999999997</v>
      </c>
      <c r="P108" s="29">
        <v>64.632000000000005</v>
      </c>
      <c r="Q108" s="29">
        <v>60.468000000000004</v>
      </c>
      <c r="R108" s="29">
        <v>40.286000000000001</v>
      </c>
    </row>
    <row r="109" spans="1:18" x14ac:dyDescent="0.2">
      <c r="A109" s="8">
        <v>199610</v>
      </c>
      <c r="B109" s="6">
        <f t="shared" si="1"/>
        <v>1996</v>
      </c>
      <c r="C109" s="9">
        <v>35339</v>
      </c>
      <c r="D109" s="29">
        <v>69.06</v>
      </c>
      <c r="E109" s="29">
        <v>64.853999999999999</v>
      </c>
      <c r="F109" s="29">
        <v>46.33</v>
      </c>
      <c r="G109" s="29">
        <v>199.084</v>
      </c>
      <c r="H109" s="29">
        <v>63.109000000000002</v>
      </c>
      <c r="I109" s="29">
        <v>84.594999999999999</v>
      </c>
      <c r="J109" s="29">
        <v>57.825000000000003</v>
      </c>
      <c r="K109" s="29">
        <v>60.451000000000001</v>
      </c>
      <c r="L109" s="29">
        <v>103.94</v>
      </c>
      <c r="M109" s="29">
        <v>95.751999999999995</v>
      </c>
      <c r="N109" s="29">
        <v>25.094000000000001</v>
      </c>
      <c r="O109" s="29">
        <v>55.356000000000002</v>
      </c>
      <c r="P109" s="29">
        <v>65.16</v>
      </c>
      <c r="Q109" s="29">
        <v>60.512999999999998</v>
      </c>
      <c r="R109" s="29">
        <v>40.277000000000001</v>
      </c>
    </row>
    <row r="110" spans="1:18" x14ac:dyDescent="0.2">
      <c r="A110" s="8">
        <v>199611</v>
      </c>
      <c r="B110" s="6">
        <f t="shared" si="1"/>
        <v>1996</v>
      </c>
      <c r="C110" s="9">
        <v>35370</v>
      </c>
      <c r="D110" s="29">
        <v>69.164000000000001</v>
      </c>
      <c r="E110" s="29">
        <v>64.542000000000002</v>
      </c>
      <c r="F110" s="29">
        <v>46.110999999999997</v>
      </c>
      <c r="G110" s="29">
        <v>201.309</v>
      </c>
      <c r="H110" s="29">
        <v>63.271999999999998</v>
      </c>
      <c r="I110" s="29">
        <v>85.406000000000006</v>
      </c>
      <c r="J110" s="29">
        <v>57.793999999999997</v>
      </c>
      <c r="K110" s="29">
        <v>60.274999999999999</v>
      </c>
      <c r="L110" s="29">
        <v>103.953</v>
      </c>
      <c r="M110" s="29">
        <v>96.022000000000006</v>
      </c>
      <c r="N110" s="29">
        <v>25.122</v>
      </c>
      <c r="O110" s="29">
        <v>55.465000000000003</v>
      </c>
      <c r="P110" s="29">
        <v>65.361999999999995</v>
      </c>
      <c r="Q110" s="29">
        <v>60.555999999999997</v>
      </c>
      <c r="R110" s="29">
        <v>40.029000000000003</v>
      </c>
    </row>
    <row r="111" spans="1:18" x14ac:dyDescent="0.2">
      <c r="A111" s="8">
        <v>199612</v>
      </c>
      <c r="B111" s="6">
        <f t="shared" si="1"/>
        <v>1996</v>
      </c>
      <c r="C111" s="9">
        <v>35400</v>
      </c>
      <c r="D111" s="29">
        <v>69.363</v>
      </c>
      <c r="E111" s="29">
        <v>64.652000000000001</v>
      </c>
      <c r="F111" s="29">
        <v>46.223999999999997</v>
      </c>
      <c r="G111" s="29">
        <v>201.31399999999999</v>
      </c>
      <c r="H111" s="29">
        <v>63.375</v>
      </c>
      <c r="I111" s="29">
        <v>86.26</v>
      </c>
      <c r="J111" s="29">
        <v>58.494</v>
      </c>
      <c r="K111" s="29">
        <v>60.731999999999999</v>
      </c>
      <c r="L111" s="29">
        <v>103.96599999999999</v>
      </c>
      <c r="M111" s="29">
        <v>96.081999999999994</v>
      </c>
      <c r="N111" s="29">
        <v>25.187999999999999</v>
      </c>
      <c r="O111" s="29">
        <v>55.588000000000001</v>
      </c>
      <c r="P111" s="29">
        <v>65.454999999999998</v>
      </c>
      <c r="Q111" s="29">
        <v>60.555</v>
      </c>
      <c r="R111" s="29">
        <v>40.006</v>
      </c>
    </row>
    <row r="112" spans="1:18" x14ac:dyDescent="0.2">
      <c r="A112" s="8">
        <v>199701</v>
      </c>
      <c r="B112" s="6">
        <f t="shared" si="1"/>
        <v>1996</v>
      </c>
      <c r="C112" s="9">
        <v>35431</v>
      </c>
      <c r="D112" s="29">
        <v>69.158000000000001</v>
      </c>
      <c r="E112" s="29">
        <v>65.100999999999999</v>
      </c>
      <c r="F112" s="29">
        <v>46.98</v>
      </c>
      <c r="G112" s="29">
        <v>188.92500000000001</v>
      </c>
      <c r="H112" s="29">
        <v>63.488999999999997</v>
      </c>
      <c r="I112" s="29">
        <v>83.088999999999999</v>
      </c>
      <c r="J112" s="29">
        <v>57.636000000000003</v>
      </c>
      <c r="K112" s="29">
        <v>61.225999999999999</v>
      </c>
      <c r="L112" s="29">
        <v>103.285</v>
      </c>
      <c r="M112" s="29">
        <v>95.9</v>
      </c>
      <c r="N112" s="29">
        <v>25.335999999999999</v>
      </c>
      <c r="O112" s="29">
        <v>55.619</v>
      </c>
      <c r="P112" s="29">
        <v>65.317999999999998</v>
      </c>
      <c r="Q112" s="29">
        <v>60.762</v>
      </c>
      <c r="R112" s="29">
        <v>39.787999999999997</v>
      </c>
    </row>
    <row r="113" spans="1:18" x14ac:dyDescent="0.2">
      <c r="A113" s="8">
        <v>199702</v>
      </c>
      <c r="B113" s="6">
        <f t="shared" si="1"/>
        <v>1996</v>
      </c>
      <c r="C113" s="9">
        <v>35462</v>
      </c>
      <c r="D113" s="29">
        <v>69.308000000000007</v>
      </c>
      <c r="E113" s="29">
        <v>65.028000000000006</v>
      </c>
      <c r="F113" s="29">
        <v>47.347000000000001</v>
      </c>
      <c r="G113" s="29">
        <v>189.42400000000001</v>
      </c>
      <c r="H113" s="29">
        <v>63.552</v>
      </c>
      <c r="I113" s="29">
        <v>83.566000000000003</v>
      </c>
      <c r="J113" s="29">
        <v>58.204000000000001</v>
      </c>
      <c r="K113" s="29">
        <v>61.499000000000002</v>
      </c>
      <c r="L113" s="29">
        <v>103.28400000000001</v>
      </c>
      <c r="M113" s="29">
        <v>96.001999999999995</v>
      </c>
      <c r="N113" s="29">
        <v>25.343</v>
      </c>
      <c r="O113" s="29">
        <v>55.753999999999998</v>
      </c>
      <c r="P113" s="29">
        <v>65.459000000000003</v>
      </c>
      <c r="Q113" s="29">
        <v>60.777000000000001</v>
      </c>
      <c r="R113" s="29">
        <v>39.805999999999997</v>
      </c>
    </row>
    <row r="114" spans="1:18" x14ac:dyDescent="0.2">
      <c r="A114" s="8">
        <v>199703</v>
      </c>
      <c r="B114" s="6">
        <f t="shared" si="1"/>
        <v>1996</v>
      </c>
      <c r="C114" s="9">
        <v>35490</v>
      </c>
      <c r="D114" s="29">
        <v>69.445999999999998</v>
      </c>
      <c r="E114" s="29">
        <v>64.623000000000005</v>
      </c>
      <c r="F114" s="29">
        <v>47.271000000000001</v>
      </c>
      <c r="G114" s="29">
        <v>192.15</v>
      </c>
      <c r="H114" s="29">
        <v>63.622</v>
      </c>
      <c r="I114" s="29">
        <v>85.445999999999998</v>
      </c>
      <c r="J114" s="29">
        <v>59.151000000000003</v>
      </c>
      <c r="K114" s="29">
        <v>61.475999999999999</v>
      </c>
      <c r="L114" s="29">
        <v>102.69799999999999</v>
      </c>
      <c r="M114" s="29">
        <v>95.840999999999994</v>
      </c>
      <c r="N114" s="29">
        <v>25.355</v>
      </c>
      <c r="O114" s="29">
        <v>55.853000000000002</v>
      </c>
      <c r="P114" s="29">
        <v>65.692999999999998</v>
      </c>
      <c r="Q114" s="29">
        <v>60.786999999999999</v>
      </c>
      <c r="R114" s="29">
        <v>39.784999999999997</v>
      </c>
    </row>
    <row r="115" spans="1:18" x14ac:dyDescent="0.2">
      <c r="A115" s="8">
        <v>199704</v>
      </c>
      <c r="B115" s="6">
        <f t="shared" si="1"/>
        <v>1997</v>
      </c>
      <c r="C115" s="9">
        <v>35521</v>
      </c>
      <c r="D115" s="29">
        <v>69.742999999999995</v>
      </c>
      <c r="E115" s="29">
        <v>64.837999999999994</v>
      </c>
      <c r="F115" s="29">
        <v>47.65</v>
      </c>
      <c r="G115" s="29">
        <v>192.875</v>
      </c>
      <c r="H115" s="29">
        <v>64.114999999999995</v>
      </c>
      <c r="I115" s="29">
        <v>84.89</v>
      </c>
      <c r="J115" s="29">
        <v>59.603999999999999</v>
      </c>
      <c r="K115" s="29">
        <v>61.404000000000003</v>
      </c>
      <c r="L115" s="29">
        <v>102.761</v>
      </c>
      <c r="M115" s="29">
        <v>96.394000000000005</v>
      </c>
      <c r="N115" s="29">
        <v>25.385000000000002</v>
      </c>
      <c r="O115" s="29">
        <v>56.137</v>
      </c>
      <c r="P115" s="29">
        <v>66.099000000000004</v>
      </c>
      <c r="Q115" s="29">
        <v>61.853999999999999</v>
      </c>
      <c r="R115" s="29">
        <v>39.688000000000002</v>
      </c>
    </row>
    <row r="116" spans="1:18" x14ac:dyDescent="0.2">
      <c r="A116" s="8">
        <v>199705</v>
      </c>
      <c r="B116" s="6">
        <f t="shared" si="1"/>
        <v>1997</v>
      </c>
      <c r="C116" s="9">
        <v>35551</v>
      </c>
      <c r="D116" s="29">
        <v>70.021000000000001</v>
      </c>
      <c r="E116" s="29">
        <v>65.304000000000002</v>
      </c>
      <c r="F116" s="29">
        <v>47.933999999999997</v>
      </c>
      <c r="G116" s="29">
        <v>193.82</v>
      </c>
      <c r="H116" s="29">
        <v>64.426000000000002</v>
      </c>
      <c r="I116" s="29">
        <v>85.210999999999999</v>
      </c>
      <c r="J116" s="29">
        <v>59.805</v>
      </c>
      <c r="K116" s="29">
        <v>61.485999999999997</v>
      </c>
      <c r="L116" s="29">
        <v>102.726</v>
      </c>
      <c r="M116" s="29">
        <v>96.536000000000001</v>
      </c>
      <c r="N116" s="29">
        <v>25.408999999999999</v>
      </c>
      <c r="O116" s="29">
        <v>56.36</v>
      </c>
      <c r="P116" s="29">
        <v>66.171000000000006</v>
      </c>
      <c r="Q116" s="29">
        <v>61.969000000000001</v>
      </c>
      <c r="R116" s="29">
        <v>39.499000000000002</v>
      </c>
    </row>
    <row r="117" spans="1:18" x14ac:dyDescent="0.2">
      <c r="A117" s="8">
        <v>199706</v>
      </c>
      <c r="B117" s="6">
        <f t="shared" si="1"/>
        <v>1997</v>
      </c>
      <c r="C117" s="9">
        <v>35582</v>
      </c>
      <c r="D117" s="29">
        <v>70.13</v>
      </c>
      <c r="E117" s="29">
        <v>65.959000000000003</v>
      </c>
      <c r="F117" s="29">
        <v>47.79</v>
      </c>
      <c r="G117" s="29">
        <v>192.821</v>
      </c>
      <c r="H117" s="29">
        <v>64.412000000000006</v>
      </c>
      <c r="I117" s="29">
        <v>85.004999999999995</v>
      </c>
      <c r="J117" s="29">
        <v>59.314999999999998</v>
      </c>
      <c r="K117" s="29">
        <v>61.826000000000001</v>
      </c>
      <c r="L117" s="29">
        <v>102.282</v>
      </c>
      <c r="M117" s="29">
        <v>96.602999999999994</v>
      </c>
      <c r="N117" s="29">
        <v>25.466000000000001</v>
      </c>
      <c r="O117" s="29">
        <v>56.665999999999997</v>
      </c>
      <c r="P117" s="29">
        <v>66.167000000000002</v>
      </c>
      <c r="Q117" s="29">
        <v>62.042000000000002</v>
      </c>
      <c r="R117" s="29">
        <v>39.335999999999999</v>
      </c>
    </row>
    <row r="118" spans="1:18" x14ac:dyDescent="0.2">
      <c r="A118" s="8">
        <v>199707</v>
      </c>
      <c r="B118" s="6">
        <f t="shared" si="1"/>
        <v>1997</v>
      </c>
      <c r="C118" s="9">
        <v>35612</v>
      </c>
      <c r="D118" s="29">
        <v>69.962999999999994</v>
      </c>
      <c r="E118" s="29">
        <v>65.564999999999998</v>
      </c>
      <c r="F118" s="29">
        <v>47.872</v>
      </c>
      <c r="G118" s="29">
        <v>182.96700000000001</v>
      </c>
      <c r="H118" s="29">
        <v>64.417000000000002</v>
      </c>
      <c r="I118" s="29">
        <v>83.697999999999993</v>
      </c>
      <c r="J118" s="29">
        <v>59.412999999999997</v>
      </c>
      <c r="K118" s="29">
        <v>62.587000000000003</v>
      </c>
      <c r="L118" s="29">
        <v>102.45099999999999</v>
      </c>
      <c r="M118" s="29">
        <v>96.742000000000004</v>
      </c>
      <c r="N118" s="29">
        <v>25.492999999999999</v>
      </c>
      <c r="O118" s="29">
        <v>56.948</v>
      </c>
      <c r="P118" s="29">
        <v>66.036000000000001</v>
      </c>
      <c r="Q118" s="29">
        <v>62.033000000000001</v>
      </c>
      <c r="R118" s="29">
        <v>39.177</v>
      </c>
    </row>
    <row r="119" spans="1:18" x14ac:dyDescent="0.2">
      <c r="A119" s="8">
        <v>199708</v>
      </c>
      <c r="B119" s="6">
        <f t="shared" si="1"/>
        <v>1997</v>
      </c>
      <c r="C119" s="9">
        <v>35643</v>
      </c>
      <c r="D119" s="29">
        <v>70.275000000000006</v>
      </c>
      <c r="E119" s="29">
        <v>65.760999999999996</v>
      </c>
      <c r="F119" s="29">
        <v>48.177999999999997</v>
      </c>
      <c r="G119" s="29">
        <v>186.3</v>
      </c>
      <c r="H119" s="29">
        <v>64.537999999999997</v>
      </c>
      <c r="I119" s="29">
        <v>84.691999999999993</v>
      </c>
      <c r="J119" s="29">
        <v>60.548999999999999</v>
      </c>
      <c r="K119" s="29">
        <v>63.018000000000001</v>
      </c>
      <c r="L119" s="29">
        <v>102.75</v>
      </c>
      <c r="M119" s="29">
        <v>96.903000000000006</v>
      </c>
      <c r="N119" s="29">
        <v>25.516999999999999</v>
      </c>
      <c r="O119" s="29">
        <v>57.037999999999997</v>
      </c>
      <c r="P119" s="29">
        <v>66.146000000000001</v>
      </c>
      <c r="Q119" s="29">
        <v>62.167000000000002</v>
      </c>
      <c r="R119" s="29">
        <v>39.174999999999997</v>
      </c>
    </row>
    <row r="120" spans="1:18" x14ac:dyDescent="0.2">
      <c r="A120" s="8">
        <v>199709</v>
      </c>
      <c r="B120" s="6">
        <f t="shared" si="1"/>
        <v>1997</v>
      </c>
      <c r="C120" s="9">
        <v>35674</v>
      </c>
      <c r="D120" s="29">
        <v>70.510999999999996</v>
      </c>
      <c r="E120" s="29">
        <v>65.623000000000005</v>
      </c>
      <c r="F120" s="29">
        <v>48.273000000000003</v>
      </c>
      <c r="G120" s="29">
        <v>194.17</v>
      </c>
      <c r="H120" s="29">
        <v>64.503</v>
      </c>
      <c r="I120" s="29">
        <v>85.144999999999996</v>
      </c>
      <c r="J120" s="29">
        <v>60.475000000000001</v>
      </c>
      <c r="K120" s="29">
        <v>63.218000000000004</v>
      </c>
      <c r="L120" s="29">
        <v>103.17100000000001</v>
      </c>
      <c r="M120" s="29">
        <v>96.948999999999998</v>
      </c>
      <c r="N120" s="29">
        <v>26.582999999999998</v>
      </c>
      <c r="O120" s="29">
        <v>57.152999999999999</v>
      </c>
      <c r="P120" s="29">
        <v>66.289000000000001</v>
      </c>
      <c r="Q120" s="29">
        <v>62.238</v>
      </c>
      <c r="R120" s="29">
        <v>38.142000000000003</v>
      </c>
    </row>
    <row r="121" spans="1:18" x14ac:dyDescent="0.2">
      <c r="A121" s="8">
        <v>199710</v>
      </c>
      <c r="B121" s="6">
        <f t="shared" si="1"/>
        <v>1997</v>
      </c>
      <c r="C121" s="9">
        <v>35704</v>
      </c>
      <c r="D121" s="29">
        <v>70.558999999999997</v>
      </c>
      <c r="E121" s="29">
        <v>65.674999999999997</v>
      </c>
      <c r="F121" s="29">
        <v>48.293999999999997</v>
      </c>
      <c r="G121" s="29">
        <v>193.982</v>
      </c>
      <c r="H121" s="29">
        <v>64.632999999999996</v>
      </c>
      <c r="I121" s="29">
        <v>84.900999999999996</v>
      </c>
      <c r="J121" s="29">
        <v>59.402999999999999</v>
      </c>
      <c r="K121" s="29">
        <v>63.048999999999999</v>
      </c>
      <c r="L121" s="29">
        <v>103.137</v>
      </c>
      <c r="M121" s="29">
        <v>97.081000000000003</v>
      </c>
      <c r="N121" s="29">
        <v>26.652000000000001</v>
      </c>
      <c r="O121" s="29">
        <v>57.293999999999997</v>
      </c>
      <c r="P121" s="29">
        <v>66.671999999999997</v>
      </c>
      <c r="Q121" s="29">
        <v>62.353000000000002</v>
      </c>
      <c r="R121" s="29">
        <v>38.177999999999997</v>
      </c>
    </row>
    <row r="122" spans="1:18" x14ac:dyDescent="0.2">
      <c r="A122" s="8">
        <v>199711</v>
      </c>
      <c r="B122" s="6">
        <f t="shared" si="1"/>
        <v>1997</v>
      </c>
      <c r="C122" s="9">
        <v>35735</v>
      </c>
      <c r="D122" s="29">
        <v>70.593000000000004</v>
      </c>
      <c r="E122" s="29">
        <v>65.358999999999995</v>
      </c>
      <c r="F122" s="29">
        <v>48.033999999999999</v>
      </c>
      <c r="G122" s="29">
        <v>196.416</v>
      </c>
      <c r="H122" s="29">
        <v>64.582999999999998</v>
      </c>
      <c r="I122" s="29">
        <v>85.870999999999995</v>
      </c>
      <c r="J122" s="29">
        <v>59.52</v>
      </c>
      <c r="K122" s="29">
        <v>62.923000000000002</v>
      </c>
      <c r="L122" s="29">
        <v>102.947</v>
      </c>
      <c r="M122" s="29">
        <v>97.061000000000007</v>
      </c>
      <c r="N122" s="29">
        <v>26.696000000000002</v>
      </c>
      <c r="O122" s="29">
        <v>57.441000000000003</v>
      </c>
      <c r="P122" s="29">
        <v>66.95</v>
      </c>
      <c r="Q122" s="29">
        <v>62.439</v>
      </c>
      <c r="R122" s="29">
        <v>38.042999999999999</v>
      </c>
    </row>
    <row r="123" spans="1:18" x14ac:dyDescent="0.2">
      <c r="A123" s="8">
        <v>199712</v>
      </c>
      <c r="B123" s="6">
        <f t="shared" si="1"/>
        <v>1997</v>
      </c>
      <c r="C123" s="9">
        <v>35765</v>
      </c>
      <c r="D123" s="29">
        <v>70.706000000000003</v>
      </c>
      <c r="E123" s="29">
        <v>65.373999999999995</v>
      </c>
      <c r="F123" s="29">
        <v>48.274000000000001</v>
      </c>
      <c r="G123" s="29">
        <v>195.72200000000001</v>
      </c>
      <c r="H123" s="29">
        <v>64.722999999999999</v>
      </c>
      <c r="I123" s="29">
        <v>86.897000000000006</v>
      </c>
      <c r="J123" s="29">
        <v>60.368000000000002</v>
      </c>
      <c r="K123" s="29">
        <v>62.764000000000003</v>
      </c>
      <c r="L123" s="29">
        <v>102.92400000000001</v>
      </c>
      <c r="M123" s="29">
        <v>97.066000000000003</v>
      </c>
      <c r="N123" s="29">
        <v>26.733000000000001</v>
      </c>
      <c r="O123" s="29">
        <v>57.524000000000001</v>
      </c>
      <c r="P123" s="29">
        <v>66.951999999999998</v>
      </c>
      <c r="Q123" s="29">
        <v>62.505000000000003</v>
      </c>
      <c r="R123" s="29">
        <v>37.886000000000003</v>
      </c>
    </row>
    <row r="124" spans="1:18" x14ac:dyDescent="0.2">
      <c r="A124" s="8">
        <v>199801</v>
      </c>
      <c r="B124" s="6">
        <f t="shared" si="1"/>
        <v>1997</v>
      </c>
      <c r="C124" s="9">
        <v>35796</v>
      </c>
      <c r="D124" s="29">
        <v>70.376000000000005</v>
      </c>
      <c r="E124" s="29">
        <v>65.346000000000004</v>
      </c>
      <c r="F124" s="29">
        <v>49.481999999999999</v>
      </c>
      <c r="G124" s="29">
        <v>181.40100000000001</v>
      </c>
      <c r="H124" s="29">
        <v>64.762</v>
      </c>
      <c r="I124" s="29">
        <v>83.385999999999996</v>
      </c>
      <c r="J124" s="29">
        <v>59.582999999999998</v>
      </c>
      <c r="K124" s="29">
        <v>63.002000000000002</v>
      </c>
      <c r="L124" s="29">
        <v>102.577</v>
      </c>
      <c r="M124" s="29">
        <v>96.932000000000002</v>
      </c>
      <c r="N124" s="29">
        <v>26.808</v>
      </c>
      <c r="O124" s="29">
        <v>57.771000000000001</v>
      </c>
      <c r="P124" s="29">
        <v>67.075000000000003</v>
      </c>
      <c r="Q124" s="29">
        <v>62.595999999999997</v>
      </c>
      <c r="R124" s="29">
        <v>37.567999999999998</v>
      </c>
    </row>
    <row r="125" spans="1:18" x14ac:dyDescent="0.2">
      <c r="A125" s="8">
        <v>199802</v>
      </c>
      <c r="B125" s="6">
        <f t="shared" si="1"/>
        <v>1997</v>
      </c>
      <c r="C125" s="9">
        <v>35827</v>
      </c>
      <c r="D125" s="29">
        <v>70.584000000000003</v>
      </c>
      <c r="E125" s="29">
        <v>65.296999999999997</v>
      </c>
      <c r="F125" s="29">
        <v>49.847000000000001</v>
      </c>
      <c r="G125" s="29">
        <v>182.77099999999999</v>
      </c>
      <c r="H125" s="29">
        <v>64.838999999999999</v>
      </c>
      <c r="I125" s="29">
        <v>84.4</v>
      </c>
      <c r="J125" s="29">
        <v>60.862000000000002</v>
      </c>
      <c r="K125" s="29">
        <v>63.106000000000002</v>
      </c>
      <c r="L125" s="29">
        <v>102.21899999999999</v>
      </c>
      <c r="M125" s="29">
        <v>96.991</v>
      </c>
      <c r="N125" s="29">
        <v>26.808</v>
      </c>
      <c r="O125" s="29">
        <v>57.963999999999999</v>
      </c>
      <c r="P125" s="29">
        <v>67.772000000000006</v>
      </c>
      <c r="Q125" s="29">
        <v>62.569000000000003</v>
      </c>
      <c r="R125" s="29">
        <v>37.655000000000001</v>
      </c>
    </row>
    <row r="126" spans="1:18" x14ac:dyDescent="0.2">
      <c r="A126" s="8">
        <v>199803</v>
      </c>
      <c r="B126" s="6">
        <f t="shared" si="1"/>
        <v>1997</v>
      </c>
      <c r="C126" s="9">
        <v>35855</v>
      </c>
      <c r="D126" s="29">
        <v>70.769000000000005</v>
      </c>
      <c r="E126" s="29">
        <v>65.17</v>
      </c>
      <c r="F126" s="29">
        <v>49.972999999999999</v>
      </c>
      <c r="G126" s="29">
        <v>185.684</v>
      </c>
      <c r="H126" s="29">
        <v>64.947000000000003</v>
      </c>
      <c r="I126" s="29">
        <v>85.933999999999997</v>
      </c>
      <c r="J126" s="29">
        <v>61.156999999999996</v>
      </c>
      <c r="K126" s="29">
        <v>63.036000000000001</v>
      </c>
      <c r="L126" s="29">
        <v>102.22</v>
      </c>
      <c r="M126" s="29">
        <v>96.832999999999998</v>
      </c>
      <c r="N126" s="29">
        <v>26.814</v>
      </c>
      <c r="O126" s="29">
        <v>58.11</v>
      </c>
      <c r="P126" s="29">
        <v>67.878</v>
      </c>
      <c r="Q126" s="29">
        <v>62.656999999999996</v>
      </c>
      <c r="R126" s="29">
        <v>37.725999999999999</v>
      </c>
    </row>
    <row r="127" spans="1:18" x14ac:dyDescent="0.2">
      <c r="A127" s="8">
        <v>199804</v>
      </c>
      <c r="B127" s="6">
        <f t="shared" si="1"/>
        <v>1998</v>
      </c>
      <c r="C127" s="9">
        <v>35886</v>
      </c>
      <c r="D127" s="29">
        <v>71.206000000000003</v>
      </c>
      <c r="E127" s="29">
        <v>65.370999999999995</v>
      </c>
      <c r="F127" s="29">
        <v>50.32</v>
      </c>
      <c r="G127" s="29">
        <v>185.244</v>
      </c>
      <c r="H127" s="29">
        <v>65.680999999999997</v>
      </c>
      <c r="I127" s="29">
        <v>84.828000000000003</v>
      </c>
      <c r="J127" s="29">
        <v>61.493000000000002</v>
      </c>
      <c r="K127" s="29">
        <v>64.007999999999996</v>
      </c>
      <c r="L127" s="29">
        <v>102.152</v>
      </c>
      <c r="M127" s="29">
        <v>97.162999999999997</v>
      </c>
      <c r="N127" s="29">
        <v>26.814</v>
      </c>
      <c r="O127" s="29">
        <v>58.332000000000001</v>
      </c>
      <c r="P127" s="29">
        <v>68.311000000000007</v>
      </c>
      <c r="Q127" s="29">
        <v>63.564</v>
      </c>
      <c r="R127" s="29">
        <v>37.716000000000001</v>
      </c>
    </row>
    <row r="128" spans="1:18" x14ac:dyDescent="0.2">
      <c r="A128" s="8">
        <v>199805</v>
      </c>
      <c r="B128" s="6">
        <f t="shared" si="1"/>
        <v>1998</v>
      </c>
      <c r="C128" s="9">
        <v>35916</v>
      </c>
      <c r="D128" s="29">
        <v>71.545000000000002</v>
      </c>
      <c r="E128" s="29">
        <v>66.337999999999994</v>
      </c>
      <c r="F128" s="29">
        <v>50.531999999999996</v>
      </c>
      <c r="G128" s="29">
        <v>187.553</v>
      </c>
      <c r="H128" s="29">
        <v>65.792000000000002</v>
      </c>
      <c r="I128" s="29">
        <v>85.644000000000005</v>
      </c>
      <c r="J128" s="29">
        <v>61.545999999999999</v>
      </c>
      <c r="K128" s="29">
        <v>64.152000000000001</v>
      </c>
      <c r="L128" s="29">
        <v>102.048</v>
      </c>
      <c r="M128" s="29">
        <v>97.201999999999998</v>
      </c>
      <c r="N128" s="29">
        <v>26.824999999999999</v>
      </c>
      <c r="O128" s="29">
        <v>58.695999999999998</v>
      </c>
      <c r="P128" s="29">
        <v>68.585999999999999</v>
      </c>
      <c r="Q128" s="29">
        <v>63.683999999999997</v>
      </c>
      <c r="R128" s="29">
        <v>37.47</v>
      </c>
    </row>
    <row r="129" spans="1:18" x14ac:dyDescent="0.2">
      <c r="A129" s="8">
        <v>199806</v>
      </c>
      <c r="B129" s="6">
        <f t="shared" si="1"/>
        <v>1998</v>
      </c>
      <c r="C129" s="9">
        <v>35947</v>
      </c>
      <c r="D129" s="29">
        <v>71.444999999999993</v>
      </c>
      <c r="E129" s="29">
        <v>66.090999999999994</v>
      </c>
      <c r="F129" s="29">
        <v>50.435000000000002</v>
      </c>
      <c r="G129" s="29">
        <v>187.03700000000001</v>
      </c>
      <c r="H129" s="29">
        <v>65.722999999999999</v>
      </c>
      <c r="I129" s="29">
        <v>85.15</v>
      </c>
      <c r="J129" s="29">
        <v>62.033999999999999</v>
      </c>
      <c r="K129" s="29">
        <v>64.069999999999993</v>
      </c>
      <c r="L129" s="29">
        <v>101.898</v>
      </c>
      <c r="M129" s="29">
        <v>97.096000000000004</v>
      </c>
      <c r="N129" s="29">
        <v>26.832000000000001</v>
      </c>
      <c r="O129" s="29">
        <v>58.82</v>
      </c>
      <c r="P129" s="29">
        <v>68.784999999999997</v>
      </c>
      <c r="Q129" s="29">
        <v>63.756</v>
      </c>
      <c r="R129" s="29">
        <v>37.247999999999998</v>
      </c>
    </row>
    <row r="130" spans="1:18" x14ac:dyDescent="0.2">
      <c r="A130" s="8">
        <v>199807</v>
      </c>
      <c r="B130" s="6">
        <f t="shared" si="1"/>
        <v>1998</v>
      </c>
      <c r="C130" s="9">
        <v>35977</v>
      </c>
      <c r="D130" s="29">
        <v>71.180000000000007</v>
      </c>
      <c r="E130" s="29">
        <v>65.915999999999997</v>
      </c>
      <c r="F130" s="29">
        <v>50.603000000000002</v>
      </c>
      <c r="G130" s="29">
        <v>175.03100000000001</v>
      </c>
      <c r="H130" s="29">
        <v>65.837999999999994</v>
      </c>
      <c r="I130" s="29">
        <v>84.15</v>
      </c>
      <c r="J130" s="29">
        <v>61.981999999999999</v>
      </c>
      <c r="K130" s="29">
        <v>64.024000000000001</v>
      </c>
      <c r="L130" s="29">
        <v>101.51900000000001</v>
      </c>
      <c r="M130" s="29">
        <v>97.052000000000007</v>
      </c>
      <c r="N130" s="29">
        <v>26.844000000000001</v>
      </c>
      <c r="O130" s="29">
        <v>59.05</v>
      </c>
      <c r="P130" s="29">
        <v>68.846999999999994</v>
      </c>
      <c r="Q130" s="29">
        <v>63.872</v>
      </c>
      <c r="R130" s="29">
        <v>37.137999999999998</v>
      </c>
    </row>
    <row r="131" spans="1:18" x14ac:dyDescent="0.2">
      <c r="A131" s="8">
        <v>199808</v>
      </c>
      <c r="B131" s="6">
        <f t="shared" si="1"/>
        <v>1998</v>
      </c>
      <c r="C131" s="9">
        <v>36008</v>
      </c>
      <c r="D131" s="29">
        <v>71.408000000000001</v>
      </c>
      <c r="E131" s="29">
        <v>66.665999999999997</v>
      </c>
      <c r="F131" s="29">
        <v>50.636000000000003</v>
      </c>
      <c r="G131" s="29">
        <v>178.40299999999999</v>
      </c>
      <c r="H131" s="29">
        <v>65.88</v>
      </c>
      <c r="I131" s="29">
        <v>84.558000000000007</v>
      </c>
      <c r="J131" s="29">
        <v>61.978999999999999</v>
      </c>
      <c r="K131" s="29">
        <v>64.045000000000002</v>
      </c>
      <c r="L131" s="29">
        <v>100.539</v>
      </c>
      <c r="M131" s="29">
        <v>97.055999999999997</v>
      </c>
      <c r="N131" s="29">
        <v>26.856999999999999</v>
      </c>
      <c r="O131" s="29">
        <v>59.283000000000001</v>
      </c>
      <c r="P131" s="29">
        <v>69.146000000000001</v>
      </c>
      <c r="Q131" s="29">
        <v>64.013999999999996</v>
      </c>
      <c r="R131" s="29">
        <v>37.122</v>
      </c>
    </row>
    <row r="132" spans="1:18" x14ac:dyDescent="0.2">
      <c r="A132" s="8">
        <v>199809</v>
      </c>
      <c r="B132" s="6">
        <f t="shared" si="1"/>
        <v>1998</v>
      </c>
      <c r="C132" s="9">
        <v>36039</v>
      </c>
      <c r="D132" s="29">
        <v>71.694000000000003</v>
      </c>
      <c r="E132" s="29">
        <v>66.382000000000005</v>
      </c>
      <c r="F132" s="29">
        <v>50.66</v>
      </c>
      <c r="G132" s="29">
        <v>187.452</v>
      </c>
      <c r="H132" s="29">
        <v>66.043999999999997</v>
      </c>
      <c r="I132" s="29">
        <v>85.162000000000006</v>
      </c>
      <c r="J132" s="29">
        <v>61.965000000000003</v>
      </c>
      <c r="K132" s="29">
        <v>63.938000000000002</v>
      </c>
      <c r="L132" s="29">
        <v>100.381</v>
      </c>
      <c r="M132" s="29">
        <v>97.076999999999998</v>
      </c>
      <c r="N132" s="29">
        <v>28.212</v>
      </c>
      <c r="O132" s="29">
        <v>59.402000000000001</v>
      </c>
      <c r="P132" s="29">
        <v>69.216999999999999</v>
      </c>
      <c r="Q132" s="29">
        <v>64.197000000000003</v>
      </c>
      <c r="R132" s="29">
        <v>37.173999999999999</v>
      </c>
    </row>
    <row r="133" spans="1:18" x14ac:dyDescent="0.2">
      <c r="A133" s="8">
        <v>199810</v>
      </c>
      <c r="B133" s="6">
        <f t="shared" ref="B133:B196" si="2">IF(MOD(A133,100)&gt;=4,  INT(A133/100), INT(A133/100)-1)</f>
        <v>1998</v>
      </c>
      <c r="C133" s="9">
        <v>36069</v>
      </c>
      <c r="D133" s="29">
        <v>71.715999999999994</v>
      </c>
      <c r="E133" s="29">
        <v>66.47</v>
      </c>
      <c r="F133" s="29">
        <v>50.728000000000002</v>
      </c>
      <c r="G133" s="29">
        <v>186.00899999999999</v>
      </c>
      <c r="H133" s="29">
        <v>66.188000000000002</v>
      </c>
      <c r="I133" s="29">
        <v>84.641999999999996</v>
      </c>
      <c r="J133" s="29">
        <v>62.17</v>
      </c>
      <c r="K133" s="29">
        <v>63.756</v>
      </c>
      <c r="L133" s="29">
        <v>100.456</v>
      </c>
      <c r="M133" s="29">
        <v>97.254999999999995</v>
      </c>
      <c r="N133" s="29">
        <v>28.231000000000002</v>
      </c>
      <c r="O133" s="29">
        <v>59.563000000000002</v>
      </c>
      <c r="P133" s="29">
        <v>69.47</v>
      </c>
      <c r="Q133" s="29">
        <v>64.355999999999995</v>
      </c>
      <c r="R133" s="29">
        <v>37.323</v>
      </c>
    </row>
    <row r="134" spans="1:18" x14ac:dyDescent="0.2">
      <c r="A134" s="8">
        <v>199811</v>
      </c>
      <c r="B134" s="6">
        <f t="shared" si="2"/>
        <v>1998</v>
      </c>
      <c r="C134" s="9">
        <v>36100</v>
      </c>
      <c r="D134" s="29">
        <v>71.802999999999997</v>
      </c>
      <c r="E134" s="29">
        <v>66.349999999999994</v>
      </c>
      <c r="F134" s="29">
        <v>50.459000000000003</v>
      </c>
      <c r="G134" s="29">
        <v>187.54599999999999</v>
      </c>
      <c r="H134" s="29">
        <v>66.320999999999998</v>
      </c>
      <c r="I134" s="29">
        <v>85.796999999999997</v>
      </c>
      <c r="J134" s="29">
        <v>62.320999999999998</v>
      </c>
      <c r="K134" s="29">
        <v>63.505000000000003</v>
      </c>
      <c r="L134" s="29">
        <v>100.164</v>
      </c>
      <c r="M134" s="29">
        <v>97.186000000000007</v>
      </c>
      <c r="N134" s="29">
        <v>28.248000000000001</v>
      </c>
      <c r="O134" s="29">
        <v>59.72</v>
      </c>
      <c r="P134" s="29">
        <v>69.478999999999999</v>
      </c>
      <c r="Q134" s="29">
        <v>64.415999999999997</v>
      </c>
      <c r="R134" s="29">
        <v>37.29</v>
      </c>
    </row>
    <row r="135" spans="1:18" x14ac:dyDescent="0.2">
      <c r="A135" s="8">
        <v>199812</v>
      </c>
      <c r="B135" s="6">
        <f t="shared" si="2"/>
        <v>1998</v>
      </c>
      <c r="C135" s="9">
        <v>36130</v>
      </c>
      <c r="D135" s="29">
        <v>72.03</v>
      </c>
      <c r="E135" s="29">
        <v>66.878</v>
      </c>
      <c r="F135" s="29">
        <v>51.140999999999998</v>
      </c>
      <c r="G135" s="29">
        <v>186.45400000000001</v>
      </c>
      <c r="H135" s="29">
        <v>66.486000000000004</v>
      </c>
      <c r="I135" s="29">
        <v>87.778999999999996</v>
      </c>
      <c r="J135" s="29">
        <v>62.139000000000003</v>
      </c>
      <c r="K135" s="29">
        <v>63.031999999999996</v>
      </c>
      <c r="L135" s="29">
        <v>100.18</v>
      </c>
      <c r="M135" s="29">
        <v>97.194000000000003</v>
      </c>
      <c r="N135" s="29">
        <v>28.274000000000001</v>
      </c>
      <c r="O135" s="29">
        <v>59.871000000000002</v>
      </c>
      <c r="P135" s="29">
        <v>69.650000000000006</v>
      </c>
      <c r="Q135" s="29">
        <v>64.527000000000001</v>
      </c>
      <c r="R135" s="29">
        <v>37.226999999999997</v>
      </c>
    </row>
    <row r="136" spans="1:18" x14ac:dyDescent="0.2">
      <c r="A136" s="8">
        <v>199901</v>
      </c>
      <c r="B136" s="6">
        <f t="shared" si="2"/>
        <v>1998</v>
      </c>
      <c r="C136" s="9">
        <v>36161</v>
      </c>
      <c r="D136" s="29">
        <v>71.769000000000005</v>
      </c>
      <c r="E136" s="29">
        <v>67.113</v>
      </c>
      <c r="F136" s="29">
        <v>52.186</v>
      </c>
      <c r="G136" s="29">
        <v>172.68100000000001</v>
      </c>
      <c r="H136" s="29">
        <v>66.727000000000004</v>
      </c>
      <c r="I136" s="29">
        <v>83.616</v>
      </c>
      <c r="J136" s="29">
        <v>62.104999999999997</v>
      </c>
      <c r="K136" s="29">
        <v>63.381999999999998</v>
      </c>
      <c r="L136" s="29">
        <v>100.136</v>
      </c>
      <c r="M136" s="29">
        <v>97.254000000000005</v>
      </c>
      <c r="N136" s="29">
        <v>28.295999999999999</v>
      </c>
      <c r="O136" s="29">
        <v>60.094000000000001</v>
      </c>
      <c r="P136" s="29">
        <v>69.718999999999994</v>
      </c>
      <c r="Q136" s="29">
        <v>64.503</v>
      </c>
      <c r="R136" s="29">
        <v>37.277000000000001</v>
      </c>
    </row>
    <row r="137" spans="1:18" x14ac:dyDescent="0.2">
      <c r="A137" s="8">
        <v>199902</v>
      </c>
      <c r="B137" s="6">
        <f t="shared" si="2"/>
        <v>1998</v>
      </c>
      <c r="C137" s="9">
        <v>36192</v>
      </c>
      <c r="D137" s="29">
        <v>71.926000000000002</v>
      </c>
      <c r="E137" s="29">
        <v>67.191000000000003</v>
      </c>
      <c r="F137" s="29">
        <v>52.247</v>
      </c>
      <c r="G137" s="29">
        <v>174.07900000000001</v>
      </c>
      <c r="H137" s="29">
        <v>66.885999999999996</v>
      </c>
      <c r="I137" s="29">
        <v>84.58</v>
      </c>
      <c r="J137" s="29">
        <v>62.39</v>
      </c>
      <c r="K137" s="29">
        <v>63.344000000000001</v>
      </c>
      <c r="L137" s="29">
        <v>99.963999999999999</v>
      </c>
      <c r="M137" s="29">
        <v>97.009</v>
      </c>
      <c r="N137" s="29">
        <v>28.297000000000001</v>
      </c>
      <c r="O137" s="29">
        <v>60.243000000000002</v>
      </c>
      <c r="P137" s="29">
        <v>69.900000000000006</v>
      </c>
      <c r="Q137" s="29">
        <v>64.471000000000004</v>
      </c>
      <c r="R137" s="29">
        <v>37.265000000000001</v>
      </c>
    </row>
    <row r="138" spans="1:18" x14ac:dyDescent="0.2">
      <c r="A138" s="8">
        <v>199903</v>
      </c>
      <c r="B138" s="6">
        <f t="shared" si="2"/>
        <v>1998</v>
      </c>
      <c r="C138" s="9">
        <v>36220</v>
      </c>
      <c r="D138" s="29">
        <v>72.253</v>
      </c>
      <c r="E138" s="29">
        <v>66.741</v>
      </c>
      <c r="F138" s="29">
        <v>53.192</v>
      </c>
      <c r="G138" s="29">
        <v>176.74799999999999</v>
      </c>
      <c r="H138" s="29">
        <v>66.974999999999994</v>
      </c>
      <c r="I138" s="29">
        <v>85.951999999999998</v>
      </c>
      <c r="J138" s="29">
        <v>62.378999999999998</v>
      </c>
      <c r="K138" s="29">
        <v>64.281999999999996</v>
      </c>
      <c r="L138" s="29">
        <v>99.929000000000002</v>
      </c>
      <c r="M138" s="29">
        <v>97.048000000000002</v>
      </c>
      <c r="N138" s="29">
        <v>28.3</v>
      </c>
      <c r="O138" s="29">
        <v>60.323</v>
      </c>
      <c r="P138" s="29">
        <v>69.718999999999994</v>
      </c>
      <c r="Q138" s="29">
        <v>64.492999999999995</v>
      </c>
      <c r="R138" s="29">
        <v>37.363</v>
      </c>
    </row>
    <row r="139" spans="1:18" x14ac:dyDescent="0.2">
      <c r="A139" s="8">
        <v>199904</v>
      </c>
      <c r="B139" s="6">
        <f t="shared" si="2"/>
        <v>1999</v>
      </c>
      <c r="C139" s="9">
        <v>36251</v>
      </c>
      <c r="D139" s="29">
        <v>72.622</v>
      </c>
      <c r="E139" s="29">
        <v>66.409000000000006</v>
      </c>
      <c r="F139" s="29">
        <v>53.558999999999997</v>
      </c>
      <c r="G139" s="29">
        <v>175.892</v>
      </c>
      <c r="H139" s="29">
        <v>67.647000000000006</v>
      </c>
      <c r="I139" s="29">
        <v>84.67</v>
      </c>
      <c r="J139" s="29">
        <v>62.515999999999998</v>
      </c>
      <c r="K139" s="29">
        <v>65.370999999999995</v>
      </c>
      <c r="L139" s="29">
        <v>99.619</v>
      </c>
      <c r="M139" s="29">
        <v>97.549000000000007</v>
      </c>
      <c r="N139" s="29">
        <v>28.324999999999999</v>
      </c>
      <c r="O139" s="29">
        <v>60.619</v>
      </c>
      <c r="P139" s="29">
        <v>70.266000000000005</v>
      </c>
      <c r="Q139" s="29">
        <v>65.622</v>
      </c>
      <c r="R139" s="29">
        <v>37.32</v>
      </c>
    </row>
    <row r="140" spans="1:18" x14ac:dyDescent="0.2">
      <c r="A140" s="8">
        <v>199905</v>
      </c>
      <c r="B140" s="6">
        <f t="shared" si="2"/>
        <v>1999</v>
      </c>
      <c r="C140" s="9">
        <v>36281</v>
      </c>
      <c r="D140" s="29">
        <v>72.778999999999996</v>
      </c>
      <c r="E140" s="29">
        <v>66.819999999999993</v>
      </c>
      <c r="F140" s="29">
        <v>53.637</v>
      </c>
      <c r="G140" s="29">
        <v>177.27</v>
      </c>
      <c r="H140" s="29">
        <v>67.602000000000004</v>
      </c>
      <c r="I140" s="29">
        <v>85.528000000000006</v>
      </c>
      <c r="J140" s="29">
        <v>62.676000000000002</v>
      </c>
      <c r="K140" s="29">
        <v>65.349000000000004</v>
      </c>
      <c r="L140" s="29">
        <v>99.067999999999998</v>
      </c>
      <c r="M140" s="29">
        <v>97.707999999999998</v>
      </c>
      <c r="N140" s="29">
        <v>28.338000000000001</v>
      </c>
      <c r="O140" s="29">
        <v>60.874000000000002</v>
      </c>
      <c r="P140" s="29">
        <v>70.391999999999996</v>
      </c>
      <c r="Q140" s="29">
        <v>65.66</v>
      </c>
      <c r="R140" s="29">
        <v>37.198</v>
      </c>
    </row>
    <row r="141" spans="1:18" x14ac:dyDescent="0.2">
      <c r="A141" s="8">
        <v>199906</v>
      </c>
      <c r="B141" s="6">
        <f t="shared" si="2"/>
        <v>1999</v>
      </c>
      <c r="C141" s="9">
        <v>36312</v>
      </c>
      <c r="D141" s="29">
        <v>72.701999999999998</v>
      </c>
      <c r="E141" s="29">
        <v>66.406999999999996</v>
      </c>
      <c r="F141" s="29">
        <v>53.883000000000003</v>
      </c>
      <c r="G141" s="29">
        <v>177.03800000000001</v>
      </c>
      <c r="H141" s="29">
        <v>67.564999999999998</v>
      </c>
      <c r="I141" s="29">
        <v>84.891999999999996</v>
      </c>
      <c r="J141" s="29">
        <v>62.66</v>
      </c>
      <c r="K141" s="29">
        <v>65.284000000000006</v>
      </c>
      <c r="L141" s="29">
        <v>98.617999999999995</v>
      </c>
      <c r="M141" s="29">
        <v>97.731999999999999</v>
      </c>
      <c r="N141" s="29">
        <v>28.353999999999999</v>
      </c>
      <c r="O141" s="29">
        <v>61.052999999999997</v>
      </c>
      <c r="P141" s="29">
        <v>70.572999999999993</v>
      </c>
      <c r="Q141" s="29">
        <v>65.688000000000002</v>
      </c>
      <c r="R141" s="29">
        <v>37.174999999999997</v>
      </c>
    </row>
    <row r="142" spans="1:18" x14ac:dyDescent="0.2">
      <c r="A142" s="8">
        <v>199907</v>
      </c>
      <c r="B142" s="6">
        <f t="shared" si="2"/>
        <v>1999</v>
      </c>
      <c r="C142" s="9">
        <v>36342</v>
      </c>
      <c r="D142" s="29">
        <v>72.381</v>
      </c>
      <c r="E142" s="29">
        <v>65.802000000000007</v>
      </c>
      <c r="F142" s="29">
        <v>54.209000000000003</v>
      </c>
      <c r="G142" s="29">
        <v>166.99100000000001</v>
      </c>
      <c r="H142" s="29">
        <v>67.641999999999996</v>
      </c>
      <c r="I142" s="29">
        <v>83.59</v>
      </c>
      <c r="J142" s="29">
        <v>62.825000000000003</v>
      </c>
      <c r="K142" s="29">
        <v>65.334000000000003</v>
      </c>
      <c r="L142" s="29">
        <v>98.174999999999997</v>
      </c>
      <c r="M142" s="29">
        <v>97.436000000000007</v>
      </c>
      <c r="N142" s="29">
        <v>28.367999999999999</v>
      </c>
      <c r="O142" s="29">
        <v>61.146000000000001</v>
      </c>
      <c r="P142" s="29">
        <v>70.921999999999997</v>
      </c>
      <c r="Q142" s="29">
        <v>65.78</v>
      </c>
      <c r="R142" s="29">
        <v>37.305</v>
      </c>
    </row>
    <row r="143" spans="1:18" x14ac:dyDescent="0.2">
      <c r="A143" s="8">
        <v>199908</v>
      </c>
      <c r="B143" s="6">
        <f t="shared" si="2"/>
        <v>1999</v>
      </c>
      <c r="C143" s="9">
        <v>36373</v>
      </c>
      <c r="D143" s="29">
        <v>72.575000000000003</v>
      </c>
      <c r="E143" s="29">
        <v>65.625</v>
      </c>
      <c r="F143" s="29">
        <v>54.360999999999997</v>
      </c>
      <c r="G143" s="29">
        <v>170.102</v>
      </c>
      <c r="H143" s="29">
        <v>67.739999999999995</v>
      </c>
      <c r="I143" s="29">
        <v>84.204999999999998</v>
      </c>
      <c r="J143" s="29">
        <v>63.127000000000002</v>
      </c>
      <c r="K143" s="29">
        <v>65.647999999999996</v>
      </c>
      <c r="L143" s="29">
        <v>98.328000000000003</v>
      </c>
      <c r="M143" s="29">
        <v>97.405000000000001</v>
      </c>
      <c r="N143" s="29">
        <v>28.367999999999999</v>
      </c>
      <c r="O143" s="29">
        <v>61.23</v>
      </c>
      <c r="P143" s="29">
        <v>71.116</v>
      </c>
      <c r="Q143" s="29">
        <v>65.936000000000007</v>
      </c>
      <c r="R143" s="29">
        <v>37.325000000000003</v>
      </c>
    </row>
    <row r="144" spans="1:18" x14ac:dyDescent="0.2">
      <c r="A144" s="8">
        <v>199909</v>
      </c>
      <c r="B144" s="6">
        <f t="shared" si="2"/>
        <v>1999</v>
      </c>
      <c r="C144" s="9">
        <v>36404</v>
      </c>
      <c r="D144" s="29">
        <v>72.816999999999993</v>
      </c>
      <c r="E144" s="29">
        <v>65.524000000000001</v>
      </c>
      <c r="F144" s="29">
        <v>54.301000000000002</v>
      </c>
      <c r="G144" s="29">
        <v>177.31899999999999</v>
      </c>
      <c r="H144" s="29">
        <v>67.811000000000007</v>
      </c>
      <c r="I144" s="29">
        <v>84.906000000000006</v>
      </c>
      <c r="J144" s="29">
        <v>63.499000000000002</v>
      </c>
      <c r="K144" s="29">
        <v>65.539000000000001</v>
      </c>
      <c r="L144" s="29">
        <v>97.863</v>
      </c>
      <c r="M144" s="29">
        <v>97.537999999999997</v>
      </c>
      <c r="N144" s="29">
        <v>29.847000000000001</v>
      </c>
      <c r="O144" s="29">
        <v>61.325000000000003</v>
      </c>
      <c r="P144" s="29">
        <v>71.073999999999998</v>
      </c>
      <c r="Q144" s="29">
        <v>66.105999999999995</v>
      </c>
      <c r="R144" s="29">
        <v>37.453000000000003</v>
      </c>
    </row>
    <row r="145" spans="1:18" x14ac:dyDescent="0.2">
      <c r="A145" s="8">
        <v>199910</v>
      </c>
      <c r="B145" s="6">
        <f t="shared" si="2"/>
        <v>1999</v>
      </c>
      <c r="C145" s="9">
        <v>36434</v>
      </c>
      <c r="D145" s="29">
        <v>72.777000000000001</v>
      </c>
      <c r="E145" s="29">
        <v>65.423000000000002</v>
      </c>
      <c r="F145" s="29">
        <v>54.332000000000001</v>
      </c>
      <c r="G145" s="29">
        <v>175.80699999999999</v>
      </c>
      <c r="H145" s="29">
        <v>67.852000000000004</v>
      </c>
      <c r="I145" s="29">
        <v>84.325999999999993</v>
      </c>
      <c r="J145" s="29">
        <v>63.625</v>
      </c>
      <c r="K145" s="29">
        <v>65.5</v>
      </c>
      <c r="L145" s="29">
        <v>96.387</v>
      </c>
      <c r="M145" s="29">
        <v>97.983000000000004</v>
      </c>
      <c r="N145" s="29">
        <v>29.852</v>
      </c>
      <c r="O145" s="29">
        <v>61.45</v>
      </c>
      <c r="P145" s="29">
        <v>71.113</v>
      </c>
      <c r="Q145" s="29">
        <v>66.209000000000003</v>
      </c>
      <c r="R145" s="29">
        <v>37.558</v>
      </c>
    </row>
    <row r="146" spans="1:18" x14ac:dyDescent="0.2">
      <c r="A146" s="8">
        <v>199911</v>
      </c>
      <c r="B146" s="6">
        <f t="shared" si="2"/>
        <v>1999</v>
      </c>
      <c r="C146" s="9">
        <v>36465</v>
      </c>
      <c r="D146" s="29">
        <v>72.897999999999996</v>
      </c>
      <c r="E146" s="29">
        <v>65.682000000000002</v>
      </c>
      <c r="F146" s="29">
        <v>54.146999999999998</v>
      </c>
      <c r="G146" s="29">
        <v>176.31200000000001</v>
      </c>
      <c r="H146" s="29">
        <v>67.992000000000004</v>
      </c>
      <c r="I146" s="29">
        <v>85.441999999999993</v>
      </c>
      <c r="J146" s="29">
        <v>63.813000000000002</v>
      </c>
      <c r="K146" s="29">
        <v>65.239999999999995</v>
      </c>
      <c r="L146" s="29">
        <v>96.513999999999996</v>
      </c>
      <c r="M146" s="29">
        <v>98.058000000000007</v>
      </c>
      <c r="N146" s="29">
        <v>29.885999999999999</v>
      </c>
      <c r="O146" s="29">
        <v>61.48</v>
      </c>
      <c r="P146" s="29">
        <v>71.078999999999994</v>
      </c>
      <c r="Q146" s="29">
        <v>66.244</v>
      </c>
      <c r="R146" s="29">
        <v>37.652999999999999</v>
      </c>
    </row>
    <row r="147" spans="1:18" x14ac:dyDescent="0.2">
      <c r="A147" s="8">
        <v>199912</v>
      </c>
      <c r="B147" s="6">
        <f t="shared" si="2"/>
        <v>1999</v>
      </c>
      <c r="C147" s="9">
        <v>36495</v>
      </c>
      <c r="D147" s="29">
        <v>73.102999999999994</v>
      </c>
      <c r="E147" s="29">
        <v>65.781999999999996</v>
      </c>
      <c r="F147" s="29">
        <v>53.942999999999998</v>
      </c>
      <c r="G147" s="29">
        <v>174.87</v>
      </c>
      <c r="H147" s="29">
        <v>68.233000000000004</v>
      </c>
      <c r="I147" s="29">
        <v>87.153999999999996</v>
      </c>
      <c r="J147" s="29">
        <v>63.732999999999997</v>
      </c>
      <c r="K147" s="29">
        <v>65.525999999999996</v>
      </c>
      <c r="L147" s="29">
        <v>97.046000000000006</v>
      </c>
      <c r="M147" s="29">
        <v>97.992999999999995</v>
      </c>
      <c r="N147" s="29">
        <v>29.899000000000001</v>
      </c>
      <c r="O147" s="29">
        <v>61.561</v>
      </c>
      <c r="P147" s="29">
        <v>71.003</v>
      </c>
      <c r="Q147" s="29">
        <v>66.358000000000004</v>
      </c>
      <c r="R147" s="29">
        <v>37.908999999999999</v>
      </c>
    </row>
    <row r="148" spans="1:18" x14ac:dyDescent="0.2">
      <c r="A148" s="8">
        <v>200001</v>
      </c>
      <c r="B148" s="6">
        <f t="shared" si="2"/>
        <v>1999</v>
      </c>
      <c r="C148" s="9">
        <v>36526</v>
      </c>
      <c r="D148" s="29">
        <v>72.622</v>
      </c>
      <c r="E148" s="29">
        <v>65.738</v>
      </c>
      <c r="F148" s="29">
        <v>54.42</v>
      </c>
      <c r="G148" s="29">
        <v>161.459</v>
      </c>
      <c r="H148" s="29">
        <v>68.445999999999998</v>
      </c>
      <c r="I148" s="29">
        <v>82.826999999999998</v>
      </c>
      <c r="J148" s="29">
        <v>63.94</v>
      </c>
      <c r="K148" s="29">
        <v>65.272000000000006</v>
      </c>
      <c r="L148" s="29">
        <v>97.012</v>
      </c>
      <c r="M148" s="29">
        <v>97.853999999999999</v>
      </c>
      <c r="N148" s="29">
        <v>29.899000000000001</v>
      </c>
      <c r="O148" s="29">
        <v>61.667000000000002</v>
      </c>
      <c r="P148" s="29">
        <v>71.007000000000005</v>
      </c>
      <c r="Q148" s="29">
        <v>66.495999999999995</v>
      </c>
      <c r="R148" s="29">
        <v>37.840000000000003</v>
      </c>
    </row>
    <row r="149" spans="1:18" x14ac:dyDescent="0.2">
      <c r="A149" s="8">
        <v>200002</v>
      </c>
      <c r="B149" s="6">
        <f t="shared" si="2"/>
        <v>1999</v>
      </c>
      <c r="C149" s="9">
        <v>36557</v>
      </c>
      <c r="D149" s="29">
        <v>72.808000000000007</v>
      </c>
      <c r="E149" s="29">
        <v>65.712999999999994</v>
      </c>
      <c r="F149" s="29">
        <v>54.72</v>
      </c>
      <c r="G149" s="29">
        <v>163.91499999999999</v>
      </c>
      <c r="H149" s="29">
        <v>68.463999999999999</v>
      </c>
      <c r="I149" s="29">
        <v>83.25</v>
      </c>
      <c r="J149" s="29">
        <v>63.987000000000002</v>
      </c>
      <c r="K149" s="29">
        <v>65.771000000000001</v>
      </c>
      <c r="L149" s="29">
        <v>96.509</v>
      </c>
      <c r="M149" s="29">
        <v>97.897000000000006</v>
      </c>
      <c r="N149" s="29">
        <v>29.899000000000001</v>
      </c>
      <c r="O149" s="29">
        <v>61.820999999999998</v>
      </c>
      <c r="P149" s="29">
        <v>70.858000000000004</v>
      </c>
      <c r="Q149" s="29">
        <v>66.495999999999995</v>
      </c>
      <c r="R149" s="29">
        <v>37.856999999999999</v>
      </c>
    </row>
    <row r="150" spans="1:18" x14ac:dyDescent="0.2">
      <c r="A150" s="8">
        <v>200003</v>
      </c>
      <c r="B150" s="6">
        <f t="shared" si="2"/>
        <v>1999</v>
      </c>
      <c r="C150" s="9">
        <v>36586</v>
      </c>
      <c r="D150" s="29">
        <v>72.956999999999994</v>
      </c>
      <c r="E150" s="29">
        <v>65.207999999999998</v>
      </c>
      <c r="F150" s="29">
        <v>54.731000000000002</v>
      </c>
      <c r="G150" s="29">
        <v>165.94499999999999</v>
      </c>
      <c r="H150" s="29">
        <v>68.498999999999995</v>
      </c>
      <c r="I150" s="29">
        <v>84.087000000000003</v>
      </c>
      <c r="J150" s="29">
        <v>64.221999999999994</v>
      </c>
      <c r="K150" s="29">
        <v>66.316000000000003</v>
      </c>
      <c r="L150" s="29">
        <v>96.201999999999998</v>
      </c>
      <c r="M150" s="29">
        <v>97.831999999999994</v>
      </c>
      <c r="N150" s="29">
        <v>29.899000000000001</v>
      </c>
      <c r="O150" s="29">
        <v>61.957999999999998</v>
      </c>
      <c r="P150" s="29">
        <v>70.97</v>
      </c>
      <c r="Q150" s="29">
        <v>66.501999999999995</v>
      </c>
      <c r="R150" s="29">
        <v>37.951000000000001</v>
      </c>
    </row>
    <row r="151" spans="1:18" x14ac:dyDescent="0.2">
      <c r="A151" s="8">
        <v>200004</v>
      </c>
      <c r="B151" s="6">
        <f t="shared" si="2"/>
        <v>2000</v>
      </c>
      <c r="C151" s="9">
        <v>36617</v>
      </c>
      <c r="D151" s="29">
        <v>73.290999999999997</v>
      </c>
      <c r="E151" s="29">
        <v>65.001000000000005</v>
      </c>
      <c r="F151" s="29">
        <v>56.567</v>
      </c>
      <c r="G151" s="29">
        <v>166.54</v>
      </c>
      <c r="H151" s="29">
        <v>68.816000000000003</v>
      </c>
      <c r="I151" s="29">
        <v>84.022000000000006</v>
      </c>
      <c r="J151" s="29">
        <v>64.552999999999997</v>
      </c>
      <c r="K151" s="29">
        <v>66.879000000000005</v>
      </c>
      <c r="L151" s="29">
        <v>95.617999999999995</v>
      </c>
      <c r="M151" s="29">
        <v>98.007000000000005</v>
      </c>
      <c r="N151" s="29">
        <v>29.899000000000001</v>
      </c>
      <c r="O151" s="29">
        <v>62.311999999999998</v>
      </c>
      <c r="P151" s="29">
        <v>70.903000000000006</v>
      </c>
      <c r="Q151" s="29">
        <v>67.602000000000004</v>
      </c>
      <c r="R151" s="29">
        <v>37.417000000000002</v>
      </c>
    </row>
    <row r="152" spans="1:18" x14ac:dyDescent="0.2">
      <c r="A152" s="8">
        <v>200005</v>
      </c>
      <c r="B152" s="6">
        <f t="shared" si="2"/>
        <v>2000</v>
      </c>
      <c r="C152" s="9">
        <v>36647</v>
      </c>
      <c r="D152" s="29">
        <v>73.486000000000004</v>
      </c>
      <c r="E152" s="29">
        <v>65.656999999999996</v>
      </c>
      <c r="F152" s="29">
        <v>56.606000000000002</v>
      </c>
      <c r="G152" s="29">
        <v>166.31700000000001</v>
      </c>
      <c r="H152" s="29">
        <v>68.902000000000001</v>
      </c>
      <c r="I152" s="29">
        <v>84.19</v>
      </c>
      <c r="J152" s="29">
        <v>64.712000000000003</v>
      </c>
      <c r="K152" s="29">
        <v>66.966999999999999</v>
      </c>
      <c r="L152" s="29">
        <v>95.168000000000006</v>
      </c>
      <c r="M152" s="29">
        <v>98.233000000000004</v>
      </c>
      <c r="N152" s="29">
        <v>29.899000000000001</v>
      </c>
      <c r="O152" s="29">
        <v>62.703000000000003</v>
      </c>
      <c r="P152" s="29">
        <v>71.239000000000004</v>
      </c>
      <c r="Q152" s="29">
        <v>67.679000000000002</v>
      </c>
      <c r="R152" s="29">
        <v>37.113999999999997</v>
      </c>
    </row>
    <row r="153" spans="1:18" x14ac:dyDescent="0.2">
      <c r="A153" s="8">
        <v>200006</v>
      </c>
      <c r="B153" s="6">
        <f t="shared" si="2"/>
        <v>2000</v>
      </c>
      <c r="C153" s="9">
        <v>36678</v>
      </c>
      <c r="D153" s="29">
        <v>73.575000000000003</v>
      </c>
      <c r="E153" s="29">
        <v>65.876999999999995</v>
      </c>
      <c r="F153" s="29">
        <v>56.686999999999998</v>
      </c>
      <c r="G153" s="29">
        <v>165.49100000000001</v>
      </c>
      <c r="H153" s="29">
        <v>68.908000000000001</v>
      </c>
      <c r="I153" s="29">
        <v>83.67</v>
      </c>
      <c r="J153" s="29">
        <v>64.611000000000004</v>
      </c>
      <c r="K153" s="29">
        <v>67.772000000000006</v>
      </c>
      <c r="L153" s="29">
        <v>95.036000000000001</v>
      </c>
      <c r="M153" s="29">
        <v>98.108000000000004</v>
      </c>
      <c r="N153" s="29">
        <v>29.899000000000001</v>
      </c>
      <c r="O153" s="29">
        <v>62.872</v>
      </c>
      <c r="P153" s="29">
        <v>71.007000000000005</v>
      </c>
      <c r="Q153" s="29">
        <v>67.813000000000002</v>
      </c>
      <c r="R153" s="29">
        <v>37.015000000000001</v>
      </c>
    </row>
    <row r="154" spans="1:18" x14ac:dyDescent="0.2">
      <c r="A154" s="8">
        <v>200007</v>
      </c>
      <c r="B154" s="6">
        <f t="shared" si="2"/>
        <v>2000</v>
      </c>
      <c r="C154" s="9">
        <v>36708</v>
      </c>
      <c r="D154" s="29">
        <v>73.284999999999997</v>
      </c>
      <c r="E154" s="29">
        <v>66.418000000000006</v>
      </c>
      <c r="F154" s="29">
        <v>56.610999999999997</v>
      </c>
      <c r="G154" s="29">
        <v>152.66399999999999</v>
      </c>
      <c r="H154" s="29">
        <v>68.980999999999995</v>
      </c>
      <c r="I154" s="29">
        <v>82.075999999999993</v>
      </c>
      <c r="J154" s="29">
        <v>64.873999999999995</v>
      </c>
      <c r="K154" s="29">
        <v>67.813000000000002</v>
      </c>
      <c r="L154" s="29">
        <v>95.872</v>
      </c>
      <c r="M154" s="29">
        <v>97.945999999999998</v>
      </c>
      <c r="N154" s="29">
        <v>29.899000000000001</v>
      </c>
      <c r="O154" s="29">
        <v>63.116999999999997</v>
      </c>
      <c r="P154" s="29">
        <v>71.165999999999997</v>
      </c>
      <c r="Q154" s="29">
        <v>68.034000000000006</v>
      </c>
      <c r="R154" s="29">
        <v>37.167000000000002</v>
      </c>
    </row>
    <row r="155" spans="1:18" x14ac:dyDescent="0.2">
      <c r="A155" s="8">
        <v>200008</v>
      </c>
      <c r="B155" s="6">
        <f t="shared" si="2"/>
        <v>2000</v>
      </c>
      <c r="C155" s="9">
        <v>36739</v>
      </c>
      <c r="D155" s="29">
        <v>73.316999999999993</v>
      </c>
      <c r="E155" s="29">
        <v>65.850999999999999</v>
      </c>
      <c r="F155" s="29">
        <v>56.768999999999998</v>
      </c>
      <c r="G155" s="29">
        <v>155.32599999999999</v>
      </c>
      <c r="H155" s="29">
        <v>69.055999999999997</v>
      </c>
      <c r="I155" s="29">
        <v>82.611999999999995</v>
      </c>
      <c r="J155" s="29">
        <v>65.221999999999994</v>
      </c>
      <c r="K155" s="29">
        <v>67.146000000000001</v>
      </c>
      <c r="L155" s="29">
        <v>93.884</v>
      </c>
      <c r="M155" s="29">
        <v>98.146000000000001</v>
      </c>
      <c r="N155" s="29">
        <v>29.899000000000001</v>
      </c>
      <c r="O155" s="29">
        <v>63.462000000000003</v>
      </c>
      <c r="P155" s="29">
        <v>71.539000000000001</v>
      </c>
      <c r="Q155" s="29">
        <v>68.144000000000005</v>
      </c>
      <c r="R155" s="29">
        <v>37.186</v>
      </c>
    </row>
    <row r="156" spans="1:18" x14ac:dyDescent="0.2">
      <c r="A156" s="8">
        <v>200009</v>
      </c>
      <c r="B156" s="6">
        <f t="shared" si="2"/>
        <v>2000</v>
      </c>
      <c r="C156" s="9">
        <v>36770</v>
      </c>
      <c r="D156" s="29">
        <v>73.77</v>
      </c>
      <c r="E156" s="29">
        <v>66.063999999999993</v>
      </c>
      <c r="F156" s="29">
        <v>57.079000000000001</v>
      </c>
      <c r="G156" s="29">
        <v>161.30699999999999</v>
      </c>
      <c r="H156" s="29">
        <v>69.224999999999994</v>
      </c>
      <c r="I156" s="29">
        <v>83.843000000000004</v>
      </c>
      <c r="J156" s="29">
        <v>65.366</v>
      </c>
      <c r="K156" s="29">
        <v>67.355000000000004</v>
      </c>
      <c r="L156" s="29">
        <v>93.212000000000003</v>
      </c>
      <c r="M156" s="29">
        <v>98.691999999999993</v>
      </c>
      <c r="N156" s="29">
        <v>31.613</v>
      </c>
      <c r="O156" s="29">
        <v>63.642000000000003</v>
      </c>
      <c r="P156" s="29">
        <v>71.662000000000006</v>
      </c>
      <c r="Q156" s="29">
        <v>68.251999999999995</v>
      </c>
      <c r="R156" s="29">
        <v>38.097999999999999</v>
      </c>
    </row>
    <row r="157" spans="1:18" x14ac:dyDescent="0.2">
      <c r="A157" s="8">
        <v>200010</v>
      </c>
      <c r="B157" s="6">
        <f t="shared" si="2"/>
        <v>2000</v>
      </c>
      <c r="C157" s="9">
        <v>36800</v>
      </c>
      <c r="D157" s="29">
        <v>73.783000000000001</v>
      </c>
      <c r="E157" s="29">
        <v>66.042000000000002</v>
      </c>
      <c r="F157" s="29">
        <v>57.058</v>
      </c>
      <c r="G157" s="29">
        <v>161.589</v>
      </c>
      <c r="H157" s="29">
        <v>69.406000000000006</v>
      </c>
      <c r="I157" s="29">
        <v>82.984999999999999</v>
      </c>
      <c r="J157" s="29">
        <v>65.489000000000004</v>
      </c>
      <c r="K157" s="29">
        <v>66.869</v>
      </c>
      <c r="L157" s="29">
        <v>93.147000000000006</v>
      </c>
      <c r="M157" s="29">
        <v>98.981999999999999</v>
      </c>
      <c r="N157" s="29">
        <v>31.855</v>
      </c>
      <c r="O157" s="29">
        <v>63.805999999999997</v>
      </c>
      <c r="P157" s="29">
        <v>71.944000000000003</v>
      </c>
      <c r="Q157" s="29">
        <v>68.451999999999998</v>
      </c>
      <c r="R157" s="29">
        <v>38.404000000000003</v>
      </c>
    </row>
    <row r="158" spans="1:18" x14ac:dyDescent="0.2">
      <c r="A158" s="8">
        <v>200011</v>
      </c>
      <c r="B158" s="6">
        <f t="shared" si="2"/>
        <v>2000</v>
      </c>
      <c r="C158" s="9">
        <v>36831</v>
      </c>
      <c r="D158" s="29">
        <v>73.974999999999994</v>
      </c>
      <c r="E158" s="29">
        <v>66.438000000000002</v>
      </c>
      <c r="F158" s="29">
        <v>56.981999999999999</v>
      </c>
      <c r="G158" s="29">
        <v>162.613</v>
      </c>
      <c r="H158" s="29">
        <v>69.594999999999999</v>
      </c>
      <c r="I158" s="29">
        <v>83.98</v>
      </c>
      <c r="J158" s="29">
        <v>65.430999999999997</v>
      </c>
      <c r="K158" s="29">
        <v>66.962000000000003</v>
      </c>
      <c r="L158" s="29">
        <v>93.353999999999999</v>
      </c>
      <c r="M158" s="29">
        <v>98.706999999999994</v>
      </c>
      <c r="N158" s="29">
        <v>31.855</v>
      </c>
      <c r="O158" s="29">
        <v>63.932000000000002</v>
      </c>
      <c r="P158" s="29">
        <v>72.09</v>
      </c>
      <c r="Q158" s="29">
        <v>68.531999999999996</v>
      </c>
      <c r="R158" s="29">
        <v>38.115000000000002</v>
      </c>
    </row>
    <row r="159" spans="1:18" x14ac:dyDescent="0.2">
      <c r="A159" s="8">
        <v>200012</v>
      </c>
      <c r="B159" s="6">
        <f t="shared" si="2"/>
        <v>2000</v>
      </c>
      <c r="C159" s="9">
        <v>36861</v>
      </c>
      <c r="D159" s="29">
        <v>74.004000000000005</v>
      </c>
      <c r="E159" s="29">
        <v>66.558000000000007</v>
      </c>
      <c r="F159" s="29">
        <v>56.73</v>
      </c>
      <c r="G159" s="29">
        <v>161.35</v>
      </c>
      <c r="H159" s="29">
        <v>69.703999999999994</v>
      </c>
      <c r="I159" s="29">
        <v>85.204999999999998</v>
      </c>
      <c r="J159" s="29">
        <v>65.582999999999998</v>
      </c>
      <c r="K159" s="29">
        <v>66.677000000000007</v>
      </c>
      <c r="L159" s="29">
        <v>92.269000000000005</v>
      </c>
      <c r="M159" s="29">
        <v>98.656999999999996</v>
      </c>
      <c r="N159" s="29">
        <v>31.855</v>
      </c>
      <c r="O159" s="29">
        <v>64.037999999999997</v>
      </c>
      <c r="P159" s="29">
        <v>72.22</v>
      </c>
      <c r="Q159" s="29">
        <v>68.593000000000004</v>
      </c>
      <c r="R159" s="29">
        <v>37.914999999999999</v>
      </c>
    </row>
    <row r="160" spans="1:18" x14ac:dyDescent="0.2">
      <c r="A160" s="8">
        <v>200101</v>
      </c>
      <c r="B160" s="6">
        <f t="shared" si="2"/>
        <v>2000</v>
      </c>
      <c r="C160" s="9">
        <v>36892</v>
      </c>
      <c r="D160" s="29">
        <v>73.516000000000005</v>
      </c>
      <c r="E160" s="29">
        <v>66.715999999999994</v>
      </c>
      <c r="F160" s="29">
        <v>57.128</v>
      </c>
      <c r="G160" s="29">
        <v>149.916</v>
      </c>
      <c r="H160" s="29">
        <v>69.772999999999996</v>
      </c>
      <c r="I160" s="29">
        <v>82.039000000000001</v>
      </c>
      <c r="J160" s="29">
        <v>66.007000000000005</v>
      </c>
      <c r="K160" s="29">
        <v>66.305000000000007</v>
      </c>
      <c r="L160" s="29">
        <v>89.563000000000002</v>
      </c>
      <c r="M160" s="29">
        <v>98.352000000000004</v>
      </c>
      <c r="N160" s="29">
        <v>31.855</v>
      </c>
      <c r="O160" s="29">
        <v>64.126000000000005</v>
      </c>
      <c r="P160" s="29">
        <v>72.412000000000006</v>
      </c>
      <c r="Q160" s="29">
        <v>68.656000000000006</v>
      </c>
      <c r="R160" s="29">
        <v>37.518999999999998</v>
      </c>
    </row>
    <row r="161" spans="1:18" x14ac:dyDescent="0.2">
      <c r="A161" s="8">
        <v>200102</v>
      </c>
      <c r="B161" s="6">
        <f t="shared" si="2"/>
        <v>2000</v>
      </c>
      <c r="C161" s="9">
        <v>36923</v>
      </c>
      <c r="D161" s="29">
        <v>73.709000000000003</v>
      </c>
      <c r="E161" s="29">
        <v>66.843000000000004</v>
      </c>
      <c r="F161" s="29">
        <v>57.527999999999999</v>
      </c>
      <c r="G161" s="29">
        <v>151.85599999999999</v>
      </c>
      <c r="H161" s="29">
        <v>69.92</v>
      </c>
      <c r="I161" s="29">
        <v>82.697999999999993</v>
      </c>
      <c r="J161" s="29">
        <v>66.119</v>
      </c>
      <c r="K161" s="29">
        <v>66.096999999999994</v>
      </c>
      <c r="L161" s="29">
        <v>88.650999999999996</v>
      </c>
      <c r="M161" s="29">
        <v>98.76</v>
      </c>
      <c r="N161" s="29">
        <v>31.855</v>
      </c>
      <c r="O161" s="29">
        <v>64.245000000000005</v>
      </c>
      <c r="P161" s="29">
        <v>72.679000000000002</v>
      </c>
      <c r="Q161" s="29">
        <v>68.665000000000006</v>
      </c>
      <c r="R161" s="29">
        <v>37.591999999999999</v>
      </c>
    </row>
    <row r="162" spans="1:18" x14ac:dyDescent="0.2">
      <c r="A162" s="8">
        <v>200103</v>
      </c>
      <c r="B162" s="6">
        <f t="shared" si="2"/>
        <v>2000</v>
      </c>
      <c r="C162" s="9">
        <v>36951</v>
      </c>
      <c r="D162" s="29">
        <v>73.938999999999993</v>
      </c>
      <c r="E162" s="29">
        <v>67.691999999999993</v>
      </c>
      <c r="F162" s="29">
        <v>57.968000000000004</v>
      </c>
      <c r="G162" s="29">
        <v>154.07900000000001</v>
      </c>
      <c r="H162" s="29">
        <v>70.003</v>
      </c>
      <c r="I162" s="29">
        <v>83.787999999999997</v>
      </c>
      <c r="J162" s="29">
        <v>66.563000000000002</v>
      </c>
      <c r="K162" s="29">
        <v>65.742999999999995</v>
      </c>
      <c r="L162" s="29">
        <v>87.358000000000004</v>
      </c>
      <c r="M162" s="29">
        <v>98.733000000000004</v>
      </c>
      <c r="N162" s="29">
        <v>31.855</v>
      </c>
      <c r="O162" s="29">
        <v>64.475999999999999</v>
      </c>
      <c r="P162" s="29">
        <v>72.83</v>
      </c>
      <c r="Q162" s="29">
        <v>68.677999999999997</v>
      </c>
      <c r="R162" s="29">
        <v>37.508000000000003</v>
      </c>
    </row>
    <row r="163" spans="1:18" x14ac:dyDescent="0.2">
      <c r="A163" s="8">
        <v>200104</v>
      </c>
      <c r="B163" s="6">
        <f t="shared" si="2"/>
        <v>2001</v>
      </c>
      <c r="C163" s="9">
        <v>36982</v>
      </c>
      <c r="D163" s="29">
        <v>74.406999999999996</v>
      </c>
      <c r="E163" s="29">
        <v>67.864999999999995</v>
      </c>
      <c r="F163" s="29">
        <v>58.146000000000001</v>
      </c>
      <c r="G163" s="29">
        <v>152.49600000000001</v>
      </c>
      <c r="H163" s="29">
        <v>70.798000000000002</v>
      </c>
      <c r="I163" s="29">
        <v>83.39</v>
      </c>
      <c r="J163" s="29">
        <v>67.037000000000006</v>
      </c>
      <c r="K163" s="29">
        <v>66.736999999999995</v>
      </c>
      <c r="L163" s="29">
        <v>87.155000000000001</v>
      </c>
      <c r="M163" s="29">
        <v>99.212000000000003</v>
      </c>
      <c r="N163" s="29">
        <v>31.855</v>
      </c>
      <c r="O163" s="29">
        <v>64.881</v>
      </c>
      <c r="P163" s="29">
        <v>73.245000000000005</v>
      </c>
      <c r="Q163" s="29">
        <v>70.144999999999996</v>
      </c>
      <c r="R163" s="29">
        <v>37.957999999999998</v>
      </c>
    </row>
    <row r="164" spans="1:18" x14ac:dyDescent="0.2">
      <c r="A164" s="8">
        <v>200105</v>
      </c>
      <c r="B164" s="6">
        <f t="shared" si="2"/>
        <v>2001</v>
      </c>
      <c r="C164" s="9">
        <v>37012</v>
      </c>
      <c r="D164" s="29">
        <v>74.876999999999995</v>
      </c>
      <c r="E164" s="29">
        <v>69.733999999999995</v>
      </c>
      <c r="F164" s="29">
        <v>58.076999999999998</v>
      </c>
      <c r="G164" s="29">
        <v>152.84</v>
      </c>
      <c r="H164" s="29">
        <v>70.926000000000002</v>
      </c>
      <c r="I164" s="29">
        <v>83.93</v>
      </c>
      <c r="J164" s="29">
        <v>67.537000000000006</v>
      </c>
      <c r="K164" s="29">
        <v>67.551000000000002</v>
      </c>
      <c r="L164" s="29">
        <v>87.483000000000004</v>
      </c>
      <c r="M164" s="29">
        <v>99.537999999999997</v>
      </c>
      <c r="N164" s="29">
        <v>31.855</v>
      </c>
      <c r="O164" s="29">
        <v>65.162999999999997</v>
      </c>
      <c r="P164" s="29">
        <v>73.625</v>
      </c>
      <c r="Q164" s="29">
        <v>70.224999999999994</v>
      </c>
      <c r="R164" s="29">
        <v>38.131</v>
      </c>
    </row>
    <row r="165" spans="1:18" x14ac:dyDescent="0.2">
      <c r="A165" s="8">
        <v>200106</v>
      </c>
      <c r="B165" s="6">
        <f t="shared" si="2"/>
        <v>2001</v>
      </c>
      <c r="C165" s="9">
        <v>37043</v>
      </c>
      <c r="D165" s="29">
        <v>74.998999999999995</v>
      </c>
      <c r="E165" s="29">
        <v>70.144000000000005</v>
      </c>
      <c r="F165" s="29">
        <v>58.197000000000003</v>
      </c>
      <c r="G165" s="29">
        <v>152.68899999999999</v>
      </c>
      <c r="H165" s="29">
        <v>70.960999999999999</v>
      </c>
      <c r="I165" s="29">
        <v>83.754999999999995</v>
      </c>
      <c r="J165" s="29">
        <v>67.117000000000004</v>
      </c>
      <c r="K165" s="29">
        <v>67.864000000000004</v>
      </c>
      <c r="L165" s="29">
        <v>87.265000000000001</v>
      </c>
      <c r="M165" s="29">
        <v>99.65</v>
      </c>
      <c r="N165" s="29">
        <v>31.855</v>
      </c>
      <c r="O165" s="29">
        <v>65.370999999999995</v>
      </c>
      <c r="P165" s="29">
        <v>73.867000000000004</v>
      </c>
      <c r="Q165" s="29">
        <v>70.272999999999996</v>
      </c>
      <c r="R165" s="29">
        <v>38.148000000000003</v>
      </c>
    </row>
    <row r="166" spans="1:18" x14ac:dyDescent="0.2">
      <c r="A166" s="8">
        <v>200107</v>
      </c>
      <c r="B166" s="6">
        <f t="shared" si="2"/>
        <v>2001</v>
      </c>
      <c r="C166" s="9">
        <v>37073</v>
      </c>
      <c r="D166" s="29">
        <v>74.549000000000007</v>
      </c>
      <c r="E166" s="29">
        <v>68.713999999999999</v>
      </c>
      <c r="F166" s="29">
        <v>58.146999999999998</v>
      </c>
      <c r="G166" s="29">
        <v>141.72399999999999</v>
      </c>
      <c r="H166" s="29">
        <v>70.930000000000007</v>
      </c>
      <c r="I166" s="29">
        <v>82.218999999999994</v>
      </c>
      <c r="J166" s="29">
        <v>67.507999999999996</v>
      </c>
      <c r="K166" s="29">
        <v>68.147000000000006</v>
      </c>
      <c r="L166" s="29">
        <v>88.114999999999995</v>
      </c>
      <c r="M166" s="29">
        <v>99.81</v>
      </c>
      <c r="N166" s="29">
        <v>31.855</v>
      </c>
      <c r="O166" s="29">
        <v>65.566000000000003</v>
      </c>
      <c r="P166" s="29">
        <v>73.468999999999994</v>
      </c>
      <c r="Q166" s="29">
        <v>70.350999999999999</v>
      </c>
      <c r="R166" s="29">
        <v>38.024000000000001</v>
      </c>
    </row>
    <row r="167" spans="1:18" x14ac:dyDescent="0.2">
      <c r="A167" s="8">
        <v>200108</v>
      </c>
      <c r="B167" s="6">
        <f t="shared" si="2"/>
        <v>2001</v>
      </c>
      <c r="C167" s="9">
        <v>37104</v>
      </c>
      <c r="D167" s="29">
        <v>74.826999999999998</v>
      </c>
      <c r="E167" s="29">
        <v>68.543999999999997</v>
      </c>
      <c r="F167" s="29">
        <v>58.256</v>
      </c>
      <c r="G167" s="29">
        <v>145.81899999999999</v>
      </c>
      <c r="H167" s="29">
        <v>71.096999999999994</v>
      </c>
      <c r="I167" s="29">
        <v>82.873999999999995</v>
      </c>
      <c r="J167" s="29">
        <v>67.69</v>
      </c>
      <c r="K167" s="29">
        <v>68.251000000000005</v>
      </c>
      <c r="L167" s="29">
        <v>89.484999999999999</v>
      </c>
      <c r="M167" s="29">
        <v>100.027</v>
      </c>
      <c r="N167" s="29">
        <v>31.855</v>
      </c>
      <c r="O167" s="29">
        <v>65.727000000000004</v>
      </c>
      <c r="P167" s="29">
        <v>73.653999999999996</v>
      </c>
      <c r="Q167" s="29">
        <v>70.391999999999996</v>
      </c>
      <c r="R167" s="29">
        <v>37.948</v>
      </c>
    </row>
    <row r="168" spans="1:18" x14ac:dyDescent="0.2">
      <c r="A168" s="8">
        <v>200109</v>
      </c>
      <c r="B168" s="6">
        <f t="shared" si="2"/>
        <v>2001</v>
      </c>
      <c r="C168" s="9">
        <v>37135</v>
      </c>
      <c r="D168" s="29">
        <v>75.037000000000006</v>
      </c>
      <c r="E168" s="29">
        <v>68.447999999999993</v>
      </c>
      <c r="F168" s="29">
        <v>58.527999999999999</v>
      </c>
      <c r="G168" s="29">
        <v>150.36600000000001</v>
      </c>
      <c r="H168" s="29">
        <v>71.317999999999998</v>
      </c>
      <c r="I168" s="29">
        <v>84.061999999999998</v>
      </c>
      <c r="J168" s="29">
        <v>67.834999999999994</v>
      </c>
      <c r="K168" s="29">
        <v>67.143000000000001</v>
      </c>
      <c r="L168" s="29">
        <v>89.534999999999997</v>
      </c>
      <c r="M168" s="29">
        <v>100.221</v>
      </c>
      <c r="N168" s="29">
        <v>33.256</v>
      </c>
      <c r="O168" s="29">
        <v>65.88</v>
      </c>
      <c r="P168" s="29">
        <v>74.057000000000002</v>
      </c>
      <c r="Q168" s="29">
        <v>70.45</v>
      </c>
      <c r="R168" s="29">
        <v>38.588000000000001</v>
      </c>
    </row>
    <row r="169" spans="1:18" x14ac:dyDescent="0.2">
      <c r="A169" s="8">
        <v>200110</v>
      </c>
      <c r="B169" s="6">
        <f t="shared" si="2"/>
        <v>2001</v>
      </c>
      <c r="C169" s="9">
        <v>37165</v>
      </c>
      <c r="D169" s="29">
        <v>74.947999999999993</v>
      </c>
      <c r="E169" s="29">
        <v>68.555999999999997</v>
      </c>
      <c r="F169" s="29">
        <v>58.631999999999998</v>
      </c>
      <c r="G169" s="29">
        <v>149.34399999999999</v>
      </c>
      <c r="H169" s="29">
        <v>71.307000000000002</v>
      </c>
      <c r="I169" s="29">
        <v>83.257000000000005</v>
      </c>
      <c r="J169" s="29">
        <v>67.891999999999996</v>
      </c>
      <c r="K169" s="29">
        <v>66.641999999999996</v>
      </c>
      <c r="L169" s="29">
        <v>90.055999999999997</v>
      </c>
      <c r="M169" s="29">
        <v>100.20699999999999</v>
      </c>
      <c r="N169" s="29">
        <v>33.427999999999997</v>
      </c>
      <c r="O169" s="29">
        <v>66.105000000000004</v>
      </c>
      <c r="P169" s="29">
        <v>73.971999999999994</v>
      </c>
      <c r="Q169" s="29">
        <v>70.561999999999998</v>
      </c>
      <c r="R169" s="29">
        <v>38.045999999999999</v>
      </c>
    </row>
    <row r="170" spans="1:18" x14ac:dyDescent="0.2">
      <c r="A170" s="8">
        <v>200111</v>
      </c>
      <c r="B170" s="6">
        <f t="shared" si="2"/>
        <v>2001</v>
      </c>
      <c r="C170" s="9">
        <v>37196</v>
      </c>
      <c r="D170" s="29">
        <v>74.852000000000004</v>
      </c>
      <c r="E170" s="29">
        <v>68.429000000000002</v>
      </c>
      <c r="F170" s="29">
        <v>58.427999999999997</v>
      </c>
      <c r="G170" s="29">
        <v>150.02600000000001</v>
      </c>
      <c r="H170" s="29">
        <v>71.325999999999993</v>
      </c>
      <c r="I170" s="29">
        <v>84.290999999999997</v>
      </c>
      <c r="J170" s="29">
        <v>68.271000000000001</v>
      </c>
      <c r="K170" s="29">
        <v>65.263999999999996</v>
      </c>
      <c r="L170" s="29">
        <v>89.721999999999994</v>
      </c>
      <c r="M170" s="29">
        <v>100.256</v>
      </c>
      <c r="N170" s="29">
        <v>33.427999999999997</v>
      </c>
      <c r="O170" s="29">
        <v>66.236000000000004</v>
      </c>
      <c r="P170" s="29">
        <v>73.983999999999995</v>
      </c>
      <c r="Q170" s="29">
        <v>70.590999999999994</v>
      </c>
      <c r="R170" s="29">
        <v>37.793999999999997</v>
      </c>
    </row>
    <row r="171" spans="1:18" x14ac:dyDescent="0.2">
      <c r="A171" s="8">
        <v>200112</v>
      </c>
      <c r="B171" s="6">
        <f t="shared" si="2"/>
        <v>2001</v>
      </c>
      <c r="C171" s="9">
        <v>37226</v>
      </c>
      <c r="D171" s="29">
        <v>75.010999999999996</v>
      </c>
      <c r="E171" s="29">
        <v>68.807000000000002</v>
      </c>
      <c r="F171" s="29">
        <v>58.087000000000003</v>
      </c>
      <c r="G171" s="29">
        <v>149.44900000000001</v>
      </c>
      <c r="H171" s="29">
        <v>71.36</v>
      </c>
      <c r="I171" s="29">
        <v>85.605000000000004</v>
      </c>
      <c r="J171" s="29">
        <v>68.319999999999993</v>
      </c>
      <c r="K171" s="29">
        <v>65.436999999999998</v>
      </c>
      <c r="L171" s="29">
        <v>89.733000000000004</v>
      </c>
      <c r="M171" s="29">
        <v>100.477</v>
      </c>
      <c r="N171" s="29">
        <v>33.427999999999997</v>
      </c>
      <c r="O171" s="29">
        <v>66.331999999999994</v>
      </c>
      <c r="P171" s="29">
        <v>74.212000000000003</v>
      </c>
      <c r="Q171" s="29">
        <v>70.700999999999993</v>
      </c>
      <c r="R171" s="29">
        <v>37.64</v>
      </c>
    </row>
    <row r="172" spans="1:18" x14ac:dyDescent="0.2">
      <c r="A172" s="8">
        <v>200201</v>
      </c>
      <c r="B172" s="6">
        <f t="shared" si="2"/>
        <v>2001</v>
      </c>
      <c r="C172" s="9">
        <v>37257</v>
      </c>
      <c r="D172" s="29">
        <v>74.837000000000003</v>
      </c>
      <c r="E172" s="29">
        <v>69.33</v>
      </c>
      <c r="F172" s="29">
        <v>58.561</v>
      </c>
      <c r="G172" s="29">
        <v>140.61600000000001</v>
      </c>
      <c r="H172" s="29">
        <v>71.591999999999999</v>
      </c>
      <c r="I172" s="29">
        <v>82.712999999999994</v>
      </c>
      <c r="J172" s="29">
        <v>68.759</v>
      </c>
      <c r="K172" s="29">
        <v>65.516000000000005</v>
      </c>
      <c r="L172" s="29">
        <v>89.406999999999996</v>
      </c>
      <c r="M172" s="29">
        <v>100.28100000000001</v>
      </c>
      <c r="N172" s="29">
        <v>33.427999999999997</v>
      </c>
      <c r="O172" s="29">
        <v>66.441000000000003</v>
      </c>
      <c r="P172" s="29">
        <v>74.495999999999995</v>
      </c>
      <c r="Q172" s="29">
        <v>70.802000000000007</v>
      </c>
      <c r="R172" s="29">
        <v>38.433</v>
      </c>
    </row>
    <row r="173" spans="1:18" x14ac:dyDescent="0.2">
      <c r="A173" s="8">
        <v>200202</v>
      </c>
      <c r="B173" s="6">
        <f t="shared" si="2"/>
        <v>2001</v>
      </c>
      <c r="C173" s="9">
        <v>37288</v>
      </c>
      <c r="D173" s="29">
        <v>74.953000000000003</v>
      </c>
      <c r="E173" s="29">
        <v>69.343000000000004</v>
      </c>
      <c r="F173" s="29">
        <v>58.66</v>
      </c>
      <c r="G173" s="29">
        <v>140.41399999999999</v>
      </c>
      <c r="H173" s="29">
        <v>71.739000000000004</v>
      </c>
      <c r="I173" s="29">
        <v>83.433000000000007</v>
      </c>
      <c r="J173" s="29">
        <v>68.694000000000003</v>
      </c>
      <c r="K173" s="29">
        <v>65.611000000000004</v>
      </c>
      <c r="L173" s="29">
        <v>89.617999999999995</v>
      </c>
      <c r="M173" s="29">
        <v>100.398</v>
      </c>
      <c r="N173" s="29">
        <v>33.427999999999997</v>
      </c>
      <c r="O173" s="29">
        <v>66.543999999999997</v>
      </c>
      <c r="P173" s="29">
        <v>74.456999999999994</v>
      </c>
      <c r="Q173" s="29">
        <v>70.837000000000003</v>
      </c>
      <c r="R173" s="29">
        <v>38.411999999999999</v>
      </c>
    </row>
    <row r="174" spans="1:18" x14ac:dyDescent="0.2">
      <c r="A174" s="8">
        <v>200203</v>
      </c>
      <c r="B174" s="6">
        <f t="shared" si="2"/>
        <v>2001</v>
      </c>
      <c r="C174" s="9">
        <v>37316</v>
      </c>
      <c r="D174" s="29">
        <v>75.195999999999998</v>
      </c>
      <c r="E174" s="29">
        <v>69.456000000000003</v>
      </c>
      <c r="F174" s="29">
        <v>58.66</v>
      </c>
      <c r="G174" s="29">
        <v>141.874</v>
      </c>
      <c r="H174" s="29">
        <v>71.781000000000006</v>
      </c>
      <c r="I174" s="29">
        <v>84.602000000000004</v>
      </c>
      <c r="J174" s="29">
        <v>68.966999999999999</v>
      </c>
      <c r="K174" s="29">
        <v>66.051000000000002</v>
      </c>
      <c r="L174" s="29">
        <v>89.113</v>
      </c>
      <c r="M174" s="29">
        <v>100.723</v>
      </c>
      <c r="N174" s="29">
        <v>33.427999999999997</v>
      </c>
      <c r="O174" s="29">
        <v>66.802000000000007</v>
      </c>
      <c r="P174" s="29">
        <v>74.567999999999998</v>
      </c>
      <c r="Q174" s="29">
        <v>70.759</v>
      </c>
      <c r="R174" s="29">
        <v>38.515000000000001</v>
      </c>
    </row>
    <row r="175" spans="1:18" x14ac:dyDescent="0.2">
      <c r="A175" s="8">
        <v>200204</v>
      </c>
      <c r="B175" s="6">
        <f t="shared" si="2"/>
        <v>2002</v>
      </c>
      <c r="C175" s="9">
        <v>37347</v>
      </c>
      <c r="D175" s="29">
        <v>75.631</v>
      </c>
      <c r="E175" s="29">
        <v>69.3</v>
      </c>
      <c r="F175" s="29">
        <v>58.731999999999999</v>
      </c>
      <c r="G175" s="29">
        <v>141.227</v>
      </c>
      <c r="H175" s="29">
        <v>72.611999999999995</v>
      </c>
      <c r="I175" s="29">
        <v>83.572999999999993</v>
      </c>
      <c r="J175" s="29">
        <v>69.515000000000001</v>
      </c>
      <c r="K175" s="29">
        <v>67.025999999999996</v>
      </c>
      <c r="L175" s="29">
        <v>89.215999999999994</v>
      </c>
      <c r="M175" s="29">
        <v>101.146</v>
      </c>
      <c r="N175" s="29">
        <v>33.427999999999997</v>
      </c>
      <c r="O175" s="29">
        <v>67.108999999999995</v>
      </c>
      <c r="P175" s="29">
        <v>75.165999999999997</v>
      </c>
      <c r="Q175" s="29">
        <v>72.049000000000007</v>
      </c>
      <c r="R175" s="29">
        <v>38.651000000000003</v>
      </c>
    </row>
    <row r="176" spans="1:18" x14ac:dyDescent="0.2">
      <c r="A176" s="8">
        <v>200205</v>
      </c>
      <c r="B176" s="6">
        <f t="shared" si="2"/>
        <v>2002</v>
      </c>
      <c r="C176" s="9">
        <v>37377</v>
      </c>
      <c r="D176" s="29">
        <v>75.807000000000002</v>
      </c>
      <c r="E176" s="29">
        <v>69.114000000000004</v>
      </c>
      <c r="F176" s="29">
        <v>59.247</v>
      </c>
      <c r="G176" s="29">
        <v>141.756</v>
      </c>
      <c r="H176" s="29">
        <v>72.777000000000001</v>
      </c>
      <c r="I176" s="29">
        <v>84.266999999999996</v>
      </c>
      <c r="J176" s="29">
        <v>69.748000000000005</v>
      </c>
      <c r="K176" s="29">
        <v>67.305999999999997</v>
      </c>
      <c r="L176" s="29">
        <v>89.033000000000001</v>
      </c>
      <c r="M176" s="29">
        <v>101.02200000000001</v>
      </c>
      <c r="N176" s="29">
        <v>33.427999999999997</v>
      </c>
      <c r="O176" s="29">
        <v>67.349999999999994</v>
      </c>
      <c r="P176" s="29">
        <v>75.34</v>
      </c>
      <c r="Q176" s="29">
        <v>72.126000000000005</v>
      </c>
      <c r="R176" s="29">
        <v>38.652999999999999</v>
      </c>
    </row>
    <row r="177" spans="1:18" x14ac:dyDescent="0.2">
      <c r="A177" s="8">
        <v>200206</v>
      </c>
      <c r="B177" s="6">
        <f t="shared" si="2"/>
        <v>2002</v>
      </c>
      <c r="C177" s="9">
        <v>37408</v>
      </c>
      <c r="D177" s="29">
        <v>75.811000000000007</v>
      </c>
      <c r="E177" s="29">
        <v>68.665000000000006</v>
      </c>
      <c r="F177" s="29">
        <v>59.170999999999999</v>
      </c>
      <c r="G177" s="29">
        <v>140.447</v>
      </c>
      <c r="H177" s="29">
        <v>72.832999999999998</v>
      </c>
      <c r="I177" s="29">
        <v>83.543999999999997</v>
      </c>
      <c r="J177" s="29">
        <v>70.045000000000002</v>
      </c>
      <c r="K177" s="29">
        <v>67.683000000000007</v>
      </c>
      <c r="L177" s="29">
        <v>89.171000000000006</v>
      </c>
      <c r="M177" s="29">
        <v>101.301</v>
      </c>
      <c r="N177" s="29">
        <v>33.427999999999997</v>
      </c>
      <c r="O177" s="29">
        <v>67.61</v>
      </c>
      <c r="P177" s="29">
        <v>75.197999999999993</v>
      </c>
      <c r="Q177" s="29">
        <v>72.152000000000001</v>
      </c>
      <c r="R177" s="29">
        <v>38.670999999999999</v>
      </c>
    </row>
    <row r="178" spans="1:18" x14ac:dyDescent="0.2">
      <c r="A178" s="8">
        <v>200207</v>
      </c>
      <c r="B178" s="6">
        <f t="shared" si="2"/>
        <v>2002</v>
      </c>
      <c r="C178" s="9">
        <v>37438</v>
      </c>
      <c r="D178" s="29">
        <v>75.606999999999999</v>
      </c>
      <c r="E178" s="29">
        <v>68.602999999999994</v>
      </c>
      <c r="F178" s="29">
        <v>59.576000000000001</v>
      </c>
      <c r="G178" s="29">
        <v>131.89099999999999</v>
      </c>
      <c r="H178" s="29">
        <v>72.715999999999994</v>
      </c>
      <c r="I178" s="29">
        <v>82.492999999999995</v>
      </c>
      <c r="J178" s="29">
        <v>69.891000000000005</v>
      </c>
      <c r="K178" s="29">
        <v>68.528999999999996</v>
      </c>
      <c r="L178" s="29">
        <v>89.07</v>
      </c>
      <c r="M178" s="29">
        <v>101.06699999999999</v>
      </c>
      <c r="N178" s="29">
        <v>33.427999999999997</v>
      </c>
      <c r="O178" s="29">
        <v>67.790000000000006</v>
      </c>
      <c r="P178" s="29">
        <v>75.022999999999996</v>
      </c>
      <c r="Q178" s="29">
        <v>72.096999999999994</v>
      </c>
      <c r="R178" s="29">
        <v>38.655999999999999</v>
      </c>
    </row>
    <row r="179" spans="1:18" x14ac:dyDescent="0.2">
      <c r="A179" s="8">
        <v>200208</v>
      </c>
      <c r="B179" s="6">
        <f t="shared" si="2"/>
        <v>2002</v>
      </c>
      <c r="C179" s="9">
        <v>37469</v>
      </c>
      <c r="D179" s="29">
        <v>75.784000000000006</v>
      </c>
      <c r="E179" s="29">
        <v>68.52</v>
      </c>
      <c r="F179" s="29">
        <v>59.363999999999997</v>
      </c>
      <c r="G179" s="29">
        <v>133.376</v>
      </c>
      <c r="H179" s="29">
        <v>72.741</v>
      </c>
      <c r="I179" s="29">
        <v>82.825999999999993</v>
      </c>
      <c r="J179" s="29">
        <v>70.319000000000003</v>
      </c>
      <c r="K179" s="29">
        <v>68.731999999999999</v>
      </c>
      <c r="L179" s="29">
        <v>89.295000000000002</v>
      </c>
      <c r="M179" s="29">
        <v>101.715</v>
      </c>
      <c r="N179" s="29">
        <v>33.427999999999997</v>
      </c>
      <c r="O179" s="29">
        <v>67.978999999999999</v>
      </c>
      <c r="P179" s="29">
        <v>75.17</v>
      </c>
      <c r="Q179" s="29">
        <v>72.146000000000001</v>
      </c>
      <c r="R179" s="29">
        <v>38.631</v>
      </c>
    </row>
    <row r="180" spans="1:18" x14ac:dyDescent="0.2">
      <c r="A180" s="8">
        <v>200209</v>
      </c>
      <c r="B180" s="6">
        <f t="shared" si="2"/>
        <v>2002</v>
      </c>
      <c r="C180" s="9">
        <v>37500</v>
      </c>
      <c r="D180" s="29">
        <v>75.974000000000004</v>
      </c>
      <c r="E180" s="29">
        <v>68.620999999999995</v>
      </c>
      <c r="F180" s="29">
        <v>59.677</v>
      </c>
      <c r="G180" s="29">
        <v>139.97800000000001</v>
      </c>
      <c r="H180" s="29">
        <v>72.828000000000003</v>
      </c>
      <c r="I180" s="29">
        <v>83.86</v>
      </c>
      <c r="J180" s="29">
        <v>70.411000000000001</v>
      </c>
      <c r="K180" s="29">
        <v>67.45</v>
      </c>
      <c r="L180" s="29">
        <v>89.427999999999997</v>
      </c>
      <c r="M180" s="29">
        <v>101.91500000000001</v>
      </c>
      <c r="N180" s="29">
        <v>34.219000000000001</v>
      </c>
      <c r="O180" s="29">
        <v>68.144999999999996</v>
      </c>
      <c r="P180" s="29">
        <v>75.313999999999993</v>
      </c>
      <c r="Q180" s="29">
        <v>72.168000000000006</v>
      </c>
      <c r="R180" s="29">
        <v>38.898000000000003</v>
      </c>
    </row>
    <row r="181" spans="1:18" x14ac:dyDescent="0.2">
      <c r="A181" s="8">
        <v>200210</v>
      </c>
      <c r="B181" s="6">
        <f t="shared" si="2"/>
        <v>2002</v>
      </c>
      <c r="C181" s="9">
        <v>37530</v>
      </c>
      <c r="D181" s="29">
        <v>76.097999999999999</v>
      </c>
      <c r="E181" s="29">
        <v>68.724999999999994</v>
      </c>
      <c r="F181" s="29">
        <v>59.59</v>
      </c>
      <c r="G181" s="29">
        <v>139.26900000000001</v>
      </c>
      <c r="H181" s="29">
        <v>72.872</v>
      </c>
      <c r="I181" s="29">
        <v>83.102999999999994</v>
      </c>
      <c r="J181" s="29">
        <v>70.58</v>
      </c>
      <c r="K181" s="29">
        <v>67.337999999999994</v>
      </c>
      <c r="L181" s="29">
        <v>89.733000000000004</v>
      </c>
      <c r="M181" s="29">
        <v>102.111</v>
      </c>
      <c r="N181" s="29">
        <v>36.270000000000003</v>
      </c>
      <c r="O181" s="29">
        <v>68.308000000000007</v>
      </c>
      <c r="P181" s="29">
        <v>76.19</v>
      </c>
      <c r="Q181" s="29">
        <v>72.251999999999995</v>
      </c>
      <c r="R181" s="29">
        <v>38.968000000000004</v>
      </c>
    </row>
    <row r="182" spans="1:18" x14ac:dyDescent="0.2">
      <c r="A182" s="8">
        <v>200211</v>
      </c>
      <c r="B182" s="6">
        <f t="shared" si="2"/>
        <v>2002</v>
      </c>
      <c r="C182" s="9">
        <v>37561</v>
      </c>
      <c r="D182" s="29">
        <v>76.064999999999998</v>
      </c>
      <c r="E182" s="29">
        <v>68.682000000000002</v>
      </c>
      <c r="F182" s="29">
        <v>59.381999999999998</v>
      </c>
      <c r="G182" s="29">
        <v>141.19999999999999</v>
      </c>
      <c r="H182" s="29">
        <v>72.796999999999997</v>
      </c>
      <c r="I182" s="29">
        <v>83.753</v>
      </c>
      <c r="J182" s="29">
        <v>70.641999999999996</v>
      </c>
      <c r="K182" s="29">
        <v>66.575999999999993</v>
      </c>
      <c r="L182" s="29">
        <v>89.843999999999994</v>
      </c>
      <c r="M182" s="29">
        <v>102.167</v>
      </c>
      <c r="N182" s="29">
        <v>36.270000000000003</v>
      </c>
      <c r="O182" s="29">
        <v>68.427999999999997</v>
      </c>
      <c r="P182" s="29">
        <v>76.14</v>
      </c>
      <c r="Q182" s="29">
        <v>72.367000000000004</v>
      </c>
      <c r="R182" s="29">
        <v>38.801000000000002</v>
      </c>
    </row>
    <row r="183" spans="1:18" x14ac:dyDescent="0.2">
      <c r="A183" s="8">
        <v>200212</v>
      </c>
      <c r="B183" s="6">
        <f t="shared" si="2"/>
        <v>2002</v>
      </c>
      <c r="C183" s="9">
        <v>37591</v>
      </c>
      <c r="D183" s="29">
        <v>76.290999999999997</v>
      </c>
      <c r="E183" s="29">
        <v>68.653999999999996</v>
      </c>
      <c r="F183" s="29">
        <v>59.088000000000001</v>
      </c>
      <c r="G183" s="29">
        <v>138.41200000000001</v>
      </c>
      <c r="H183" s="29">
        <v>72.870999999999995</v>
      </c>
      <c r="I183" s="29">
        <v>85.006</v>
      </c>
      <c r="J183" s="29">
        <v>70.588999999999999</v>
      </c>
      <c r="K183" s="29">
        <v>68.210999999999999</v>
      </c>
      <c r="L183" s="29">
        <v>89.742999999999995</v>
      </c>
      <c r="M183" s="29">
        <v>101.998</v>
      </c>
      <c r="N183" s="29">
        <v>36.270000000000003</v>
      </c>
      <c r="O183" s="29">
        <v>68.572999999999993</v>
      </c>
      <c r="P183" s="29">
        <v>76.472999999999999</v>
      </c>
      <c r="Q183" s="29">
        <v>72.353999999999999</v>
      </c>
      <c r="R183" s="29">
        <v>39.006</v>
      </c>
    </row>
    <row r="184" spans="1:18" x14ac:dyDescent="0.2">
      <c r="A184" s="8">
        <v>200301</v>
      </c>
      <c r="B184" s="6">
        <f t="shared" si="2"/>
        <v>2002</v>
      </c>
      <c r="C184" s="9">
        <v>37622</v>
      </c>
      <c r="D184" s="29">
        <v>75.894000000000005</v>
      </c>
      <c r="E184" s="29">
        <v>68.644999999999996</v>
      </c>
      <c r="F184" s="29">
        <v>59.52</v>
      </c>
      <c r="G184" s="29">
        <v>132.72399999999999</v>
      </c>
      <c r="H184" s="29">
        <v>72.912999999999997</v>
      </c>
      <c r="I184" s="29">
        <v>82.171000000000006</v>
      </c>
      <c r="J184" s="29">
        <v>71.028999999999996</v>
      </c>
      <c r="K184" s="29">
        <v>67.698999999999998</v>
      </c>
      <c r="L184" s="29">
        <v>89.781000000000006</v>
      </c>
      <c r="M184" s="29">
        <v>101.533</v>
      </c>
      <c r="N184" s="29">
        <v>36.270000000000003</v>
      </c>
      <c r="O184" s="29">
        <v>68.688999999999993</v>
      </c>
      <c r="P184" s="29">
        <v>75.828999999999994</v>
      </c>
      <c r="Q184" s="29">
        <v>72.322999999999993</v>
      </c>
      <c r="R184" s="29">
        <v>39.091000000000001</v>
      </c>
    </row>
    <row r="185" spans="1:18" x14ac:dyDescent="0.2">
      <c r="A185" s="8">
        <v>200302</v>
      </c>
      <c r="B185" s="6">
        <f t="shared" si="2"/>
        <v>2002</v>
      </c>
      <c r="C185" s="9">
        <v>37653</v>
      </c>
      <c r="D185" s="29">
        <v>76.141999999999996</v>
      </c>
      <c r="E185" s="29">
        <v>69.106999999999999</v>
      </c>
      <c r="F185" s="29">
        <v>59.561</v>
      </c>
      <c r="G185" s="29">
        <v>134.339</v>
      </c>
      <c r="H185" s="29">
        <v>73.051000000000002</v>
      </c>
      <c r="I185" s="29">
        <v>82.677999999999997</v>
      </c>
      <c r="J185" s="29">
        <v>71.268000000000001</v>
      </c>
      <c r="K185" s="29">
        <v>68.058000000000007</v>
      </c>
      <c r="L185" s="29">
        <v>89.822999999999993</v>
      </c>
      <c r="M185" s="29">
        <v>101.71</v>
      </c>
      <c r="N185" s="29">
        <v>36.270000000000003</v>
      </c>
      <c r="O185" s="29">
        <v>68.802999999999997</v>
      </c>
      <c r="P185" s="29">
        <v>75.941000000000003</v>
      </c>
      <c r="Q185" s="29">
        <v>72.269000000000005</v>
      </c>
      <c r="R185" s="29">
        <v>39.39</v>
      </c>
    </row>
    <row r="186" spans="1:18" x14ac:dyDescent="0.2">
      <c r="A186" s="8">
        <v>200303</v>
      </c>
      <c r="B186" s="6">
        <f t="shared" si="2"/>
        <v>2002</v>
      </c>
      <c r="C186" s="9">
        <v>37681</v>
      </c>
      <c r="D186" s="29">
        <v>76.388000000000005</v>
      </c>
      <c r="E186" s="29">
        <v>69.366</v>
      </c>
      <c r="F186" s="29">
        <v>59.552</v>
      </c>
      <c r="G186" s="29">
        <v>135.30000000000001</v>
      </c>
      <c r="H186" s="29">
        <v>73.162000000000006</v>
      </c>
      <c r="I186" s="29">
        <v>83.94</v>
      </c>
      <c r="J186" s="29">
        <v>71.358000000000004</v>
      </c>
      <c r="K186" s="29">
        <v>68.691999999999993</v>
      </c>
      <c r="L186" s="29">
        <v>89.89</v>
      </c>
      <c r="M186" s="29">
        <v>101.489</v>
      </c>
      <c r="N186" s="29">
        <v>36.270000000000003</v>
      </c>
      <c r="O186" s="29">
        <v>69.042000000000002</v>
      </c>
      <c r="P186" s="29">
        <v>76.061000000000007</v>
      </c>
      <c r="Q186" s="29">
        <v>72.233000000000004</v>
      </c>
      <c r="R186" s="29">
        <v>39.450000000000003</v>
      </c>
    </row>
    <row r="187" spans="1:18" x14ac:dyDescent="0.2">
      <c r="A187" s="8">
        <v>200304</v>
      </c>
      <c r="B187" s="6">
        <f t="shared" si="2"/>
        <v>2003</v>
      </c>
      <c r="C187" s="9">
        <v>37712</v>
      </c>
      <c r="D187" s="29">
        <v>76.801000000000002</v>
      </c>
      <c r="E187" s="29">
        <v>69.632999999999996</v>
      </c>
      <c r="F187" s="29">
        <v>60.228999999999999</v>
      </c>
      <c r="G187" s="29">
        <v>135.17099999999999</v>
      </c>
      <c r="H187" s="29">
        <v>73.948999999999998</v>
      </c>
      <c r="I187" s="29">
        <v>82.796000000000006</v>
      </c>
      <c r="J187" s="29">
        <v>71.697999999999993</v>
      </c>
      <c r="K187" s="29">
        <v>69.866</v>
      </c>
      <c r="L187" s="29">
        <v>89.808000000000007</v>
      </c>
      <c r="M187" s="29">
        <v>101.383</v>
      </c>
      <c r="N187" s="29">
        <v>36.270000000000003</v>
      </c>
      <c r="O187" s="29">
        <v>69.275000000000006</v>
      </c>
      <c r="P187" s="29">
        <v>76.168999999999997</v>
      </c>
      <c r="Q187" s="29">
        <v>72.86</v>
      </c>
      <c r="R187" s="29">
        <v>39.000999999999998</v>
      </c>
    </row>
    <row r="188" spans="1:18" x14ac:dyDescent="0.2">
      <c r="A188" s="8">
        <v>200305</v>
      </c>
      <c r="B188" s="6">
        <f t="shared" si="2"/>
        <v>2003</v>
      </c>
      <c r="C188" s="9">
        <v>37742</v>
      </c>
      <c r="D188" s="29">
        <v>76.808000000000007</v>
      </c>
      <c r="E188" s="29">
        <v>70.045000000000002</v>
      </c>
      <c r="F188" s="29">
        <v>60.393999999999998</v>
      </c>
      <c r="G188" s="29">
        <v>135.31299999999999</v>
      </c>
      <c r="H188" s="29">
        <v>73.911000000000001</v>
      </c>
      <c r="I188" s="29">
        <v>83.861999999999995</v>
      </c>
      <c r="J188" s="29">
        <v>71.912999999999997</v>
      </c>
      <c r="K188" s="29">
        <v>69.272000000000006</v>
      </c>
      <c r="L188" s="29">
        <v>89.921999999999997</v>
      </c>
      <c r="M188" s="29">
        <v>100.881</v>
      </c>
      <c r="N188" s="29">
        <v>36.270000000000003</v>
      </c>
      <c r="O188" s="29">
        <v>69.522000000000006</v>
      </c>
      <c r="P188" s="29">
        <v>76.233999999999995</v>
      </c>
      <c r="Q188" s="29">
        <v>72.837000000000003</v>
      </c>
      <c r="R188" s="29">
        <v>39.036999999999999</v>
      </c>
    </row>
    <row r="189" spans="1:18" x14ac:dyDescent="0.2">
      <c r="A189" s="8">
        <v>200306</v>
      </c>
      <c r="B189" s="6">
        <f t="shared" si="2"/>
        <v>2003</v>
      </c>
      <c r="C189" s="9">
        <v>37773</v>
      </c>
      <c r="D189" s="29">
        <v>76.686000000000007</v>
      </c>
      <c r="E189" s="29">
        <v>69.656999999999996</v>
      </c>
      <c r="F189" s="29">
        <v>60.45</v>
      </c>
      <c r="G189" s="29">
        <v>134.179</v>
      </c>
      <c r="H189" s="29">
        <v>73.843999999999994</v>
      </c>
      <c r="I189" s="29">
        <v>83.36</v>
      </c>
      <c r="J189" s="29">
        <v>72.022999999999996</v>
      </c>
      <c r="K189" s="29">
        <v>69.242000000000004</v>
      </c>
      <c r="L189" s="29">
        <v>89.225999999999999</v>
      </c>
      <c r="M189" s="29">
        <v>100.51300000000001</v>
      </c>
      <c r="N189" s="29">
        <v>36.270000000000003</v>
      </c>
      <c r="O189" s="29">
        <v>69.738</v>
      </c>
      <c r="P189" s="29">
        <v>76.379000000000005</v>
      </c>
      <c r="Q189" s="29">
        <v>72.843999999999994</v>
      </c>
      <c r="R189" s="29">
        <v>39.17</v>
      </c>
    </row>
    <row r="190" spans="1:18" x14ac:dyDescent="0.2">
      <c r="A190" s="8">
        <v>200307</v>
      </c>
      <c r="B190" s="6">
        <f t="shared" si="2"/>
        <v>2003</v>
      </c>
      <c r="C190" s="9">
        <v>37803</v>
      </c>
      <c r="D190" s="29">
        <v>76.623000000000005</v>
      </c>
      <c r="E190" s="29">
        <v>69.643000000000001</v>
      </c>
      <c r="F190" s="29">
        <v>60.503</v>
      </c>
      <c r="G190" s="29">
        <v>128.94</v>
      </c>
      <c r="H190" s="29">
        <v>73.838999999999999</v>
      </c>
      <c r="I190" s="29">
        <v>82.447000000000003</v>
      </c>
      <c r="J190" s="29">
        <v>72.680999999999997</v>
      </c>
      <c r="K190" s="29">
        <v>70.114000000000004</v>
      </c>
      <c r="L190" s="29">
        <v>89.977000000000004</v>
      </c>
      <c r="M190" s="29">
        <v>99.911000000000001</v>
      </c>
      <c r="N190" s="29">
        <v>36.270000000000003</v>
      </c>
      <c r="O190" s="29">
        <v>69.885999999999996</v>
      </c>
      <c r="P190" s="29">
        <v>76.831999999999994</v>
      </c>
      <c r="Q190" s="29">
        <v>73.08</v>
      </c>
      <c r="R190" s="29">
        <v>39.328000000000003</v>
      </c>
    </row>
    <row r="191" spans="1:18" x14ac:dyDescent="0.2">
      <c r="A191" s="8">
        <v>200308</v>
      </c>
      <c r="B191" s="6">
        <f t="shared" si="2"/>
        <v>2003</v>
      </c>
      <c r="C191" s="9">
        <v>37834</v>
      </c>
      <c r="D191" s="29">
        <v>76.828999999999994</v>
      </c>
      <c r="E191" s="29">
        <v>69.680000000000007</v>
      </c>
      <c r="F191" s="29">
        <v>60.823999999999998</v>
      </c>
      <c r="G191" s="29">
        <v>131.822</v>
      </c>
      <c r="H191" s="29">
        <v>73.820999999999998</v>
      </c>
      <c r="I191" s="29">
        <v>82.677000000000007</v>
      </c>
      <c r="J191" s="29">
        <v>72.72</v>
      </c>
      <c r="K191" s="29">
        <v>70.42</v>
      </c>
      <c r="L191" s="29">
        <v>89.944999999999993</v>
      </c>
      <c r="M191" s="29">
        <v>100.09399999999999</v>
      </c>
      <c r="N191" s="29">
        <v>36.270000000000003</v>
      </c>
      <c r="O191" s="29">
        <v>70.022999999999996</v>
      </c>
      <c r="P191" s="29">
        <v>77.164000000000001</v>
      </c>
      <c r="Q191" s="29">
        <v>73.094999999999999</v>
      </c>
      <c r="R191" s="29">
        <v>39.47</v>
      </c>
    </row>
    <row r="192" spans="1:18" x14ac:dyDescent="0.2">
      <c r="A192" s="8">
        <v>200309</v>
      </c>
      <c r="B192" s="6">
        <f t="shared" si="2"/>
        <v>2003</v>
      </c>
      <c r="C192" s="9">
        <v>37865</v>
      </c>
      <c r="D192" s="29">
        <v>76.992000000000004</v>
      </c>
      <c r="E192" s="29">
        <v>70.188000000000002</v>
      </c>
      <c r="F192" s="29">
        <v>60.762999999999998</v>
      </c>
      <c r="G192" s="29">
        <v>135.36199999999999</v>
      </c>
      <c r="H192" s="29">
        <v>73.816000000000003</v>
      </c>
      <c r="I192" s="29">
        <v>83.603999999999999</v>
      </c>
      <c r="J192" s="29">
        <v>72.89</v>
      </c>
      <c r="K192" s="29">
        <v>69.599999999999994</v>
      </c>
      <c r="L192" s="29">
        <v>90.406000000000006</v>
      </c>
      <c r="M192" s="29">
        <v>100.10599999999999</v>
      </c>
      <c r="N192" s="29">
        <v>37.201999999999998</v>
      </c>
      <c r="O192" s="29">
        <v>70.180999999999997</v>
      </c>
      <c r="P192" s="29">
        <v>77.364999999999995</v>
      </c>
      <c r="Q192" s="29">
        <v>73.186999999999998</v>
      </c>
      <c r="R192" s="29">
        <v>39.561</v>
      </c>
    </row>
    <row r="193" spans="1:18" x14ac:dyDescent="0.2">
      <c r="A193" s="8">
        <v>200310</v>
      </c>
      <c r="B193" s="6">
        <f t="shared" si="2"/>
        <v>2003</v>
      </c>
      <c r="C193" s="9">
        <v>37895</v>
      </c>
      <c r="D193" s="29">
        <v>77.091999999999999</v>
      </c>
      <c r="E193" s="29">
        <v>70.363</v>
      </c>
      <c r="F193" s="29">
        <v>60.841000000000001</v>
      </c>
      <c r="G193" s="29">
        <v>134.71199999999999</v>
      </c>
      <c r="H193" s="29">
        <v>73.944000000000003</v>
      </c>
      <c r="I193" s="29">
        <v>82.894000000000005</v>
      </c>
      <c r="J193" s="29">
        <v>73.108999999999995</v>
      </c>
      <c r="K193" s="29">
        <v>69.47</v>
      </c>
      <c r="L193" s="29">
        <v>90.081999999999994</v>
      </c>
      <c r="M193" s="29">
        <v>100.01900000000001</v>
      </c>
      <c r="N193" s="29">
        <v>37.978000000000002</v>
      </c>
      <c r="O193" s="29">
        <v>70.314999999999998</v>
      </c>
      <c r="P193" s="29">
        <v>78.361000000000004</v>
      </c>
      <c r="Q193" s="29">
        <v>73.305000000000007</v>
      </c>
      <c r="R193" s="29">
        <v>39.781999999999996</v>
      </c>
    </row>
    <row r="194" spans="1:18" x14ac:dyDescent="0.2">
      <c r="A194" s="8">
        <v>200311</v>
      </c>
      <c r="B194" s="6">
        <f t="shared" si="2"/>
        <v>2003</v>
      </c>
      <c r="C194" s="9">
        <v>37926</v>
      </c>
      <c r="D194" s="29">
        <v>77.066999999999993</v>
      </c>
      <c r="E194" s="29">
        <v>70.561000000000007</v>
      </c>
      <c r="F194" s="29">
        <v>60.368000000000002</v>
      </c>
      <c r="G194" s="29">
        <v>135.22200000000001</v>
      </c>
      <c r="H194" s="29">
        <v>73.98</v>
      </c>
      <c r="I194" s="29">
        <v>83.528000000000006</v>
      </c>
      <c r="J194" s="29">
        <v>73.165999999999997</v>
      </c>
      <c r="K194" s="29">
        <v>68.956000000000003</v>
      </c>
      <c r="L194" s="29">
        <v>89.558000000000007</v>
      </c>
      <c r="M194" s="29">
        <v>99.796000000000006</v>
      </c>
      <c r="N194" s="29">
        <v>37.978000000000002</v>
      </c>
      <c r="O194" s="29">
        <v>70.483999999999995</v>
      </c>
      <c r="P194" s="29">
        <v>78.325000000000003</v>
      </c>
      <c r="Q194" s="29">
        <v>73.311999999999998</v>
      </c>
      <c r="R194" s="29">
        <v>39.840000000000003</v>
      </c>
    </row>
    <row r="195" spans="1:18" x14ac:dyDescent="0.2">
      <c r="A195" s="8">
        <v>200312</v>
      </c>
      <c r="B195" s="6">
        <f t="shared" si="2"/>
        <v>2003</v>
      </c>
      <c r="C195" s="9">
        <v>37956</v>
      </c>
      <c r="D195" s="29">
        <v>77.268000000000001</v>
      </c>
      <c r="E195" s="29">
        <v>70.763999999999996</v>
      </c>
      <c r="F195" s="29">
        <v>60.145000000000003</v>
      </c>
      <c r="G195" s="29">
        <v>133.535</v>
      </c>
      <c r="H195" s="29">
        <v>74.021000000000001</v>
      </c>
      <c r="I195" s="29">
        <v>84.5</v>
      </c>
      <c r="J195" s="29">
        <v>72.754000000000005</v>
      </c>
      <c r="K195" s="29">
        <v>70.274000000000001</v>
      </c>
      <c r="L195" s="29">
        <v>89.501000000000005</v>
      </c>
      <c r="M195" s="29">
        <v>99.665999999999997</v>
      </c>
      <c r="N195" s="29">
        <v>37.978000000000002</v>
      </c>
      <c r="O195" s="29">
        <v>70.638999999999996</v>
      </c>
      <c r="P195" s="29">
        <v>78.515000000000001</v>
      </c>
      <c r="Q195" s="29">
        <v>73.356999999999999</v>
      </c>
      <c r="R195" s="29">
        <v>40.014000000000003</v>
      </c>
    </row>
    <row r="196" spans="1:18" x14ac:dyDescent="0.2">
      <c r="A196" s="8">
        <v>200401</v>
      </c>
      <c r="B196" s="6">
        <f t="shared" si="2"/>
        <v>2003</v>
      </c>
      <c r="C196" s="9">
        <v>37987</v>
      </c>
      <c r="D196" s="29">
        <v>77.001000000000005</v>
      </c>
      <c r="E196" s="29">
        <v>70.582999999999998</v>
      </c>
      <c r="F196" s="29">
        <v>60.539000000000001</v>
      </c>
      <c r="G196" s="29">
        <v>129.36699999999999</v>
      </c>
      <c r="H196" s="29">
        <v>74.179000000000002</v>
      </c>
      <c r="I196" s="29">
        <v>82.100999999999999</v>
      </c>
      <c r="J196" s="29">
        <v>72.948999999999998</v>
      </c>
      <c r="K196" s="29">
        <v>69.861999999999995</v>
      </c>
      <c r="L196" s="29">
        <v>89.513999999999996</v>
      </c>
      <c r="M196" s="29">
        <v>98.887</v>
      </c>
      <c r="N196" s="29">
        <v>37.978000000000002</v>
      </c>
      <c r="O196" s="29">
        <v>70.709000000000003</v>
      </c>
      <c r="P196" s="29">
        <v>79.058000000000007</v>
      </c>
      <c r="Q196" s="29">
        <v>73.405000000000001</v>
      </c>
      <c r="R196" s="29">
        <v>40.195999999999998</v>
      </c>
    </row>
    <row r="197" spans="1:18" x14ac:dyDescent="0.2">
      <c r="A197" s="8">
        <v>200402</v>
      </c>
      <c r="B197" s="6">
        <f t="shared" ref="B197:B260" si="3">IF(MOD(A197,100)&gt;=4,  INT(A197/100), INT(A197/100)-1)</f>
        <v>2003</v>
      </c>
      <c r="C197" s="9">
        <v>38018</v>
      </c>
      <c r="D197" s="29">
        <v>77.180000000000007</v>
      </c>
      <c r="E197" s="29">
        <v>70.763999999999996</v>
      </c>
      <c r="F197" s="29">
        <v>60.540999999999997</v>
      </c>
      <c r="G197" s="29">
        <v>129.09</v>
      </c>
      <c r="H197" s="29">
        <v>74.364999999999995</v>
      </c>
      <c r="I197" s="29">
        <v>83.01</v>
      </c>
      <c r="J197" s="29">
        <v>72.817999999999998</v>
      </c>
      <c r="K197" s="29">
        <v>70.198999999999998</v>
      </c>
      <c r="L197" s="29">
        <v>90.063999999999993</v>
      </c>
      <c r="M197" s="29">
        <v>98.751999999999995</v>
      </c>
      <c r="N197" s="29">
        <v>37.978000000000002</v>
      </c>
      <c r="O197" s="29">
        <v>70.799000000000007</v>
      </c>
      <c r="P197" s="29">
        <v>79.23</v>
      </c>
      <c r="Q197" s="29">
        <v>73.44</v>
      </c>
      <c r="R197" s="29">
        <v>40.460999999999999</v>
      </c>
    </row>
    <row r="198" spans="1:18" x14ac:dyDescent="0.2">
      <c r="A198" s="8">
        <v>200403</v>
      </c>
      <c r="B198" s="6">
        <f t="shared" si="3"/>
        <v>2003</v>
      </c>
      <c r="C198" s="9">
        <v>38047</v>
      </c>
      <c r="D198" s="29">
        <v>77.290000000000006</v>
      </c>
      <c r="E198" s="29">
        <v>70.790000000000006</v>
      </c>
      <c r="F198" s="29">
        <v>60.664000000000001</v>
      </c>
      <c r="G198" s="29">
        <v>129.11500000000001</v>
      </c>
      <c r="H198" s="29">
        <v>74.438999999999993</v>
      </c>
      <c r="I198" s="29">
        <v>83.47</v>
      </c>
      <c r="J198" s="29">
        <v>72.960999999999999</v>
      </c>
      <c r="K198" s="29">
        <v>70.197999999999993</v>
      </c>
      <c r="L198" s="29">
        <v>90.13</v>
      </c>
      <c r="M198" s="29">
        <v>98.781999999999996</v>
      </c>
      <c r="N198" s="29">
        <v>37.978000000000002</v>
      </c>
      <c r="O198" s="29">
        <v>71.150999999999996</v>
      </c>
      <c r="P198" s="29">
        <v>79.287999999999997</v>
      </c>
      <c r="Q198" s="29">
        <v>73.444000000000003</v>
      </c>
      <c r="R198" s="29">
        <v>40.918999999999997</v>
      </c>
    </row>
    <row r="199" spans="1:18" x14ac:dyDescent="0.2">
      <c r="A199" s="8">
        <v>200404</v>
      </c>
      <c r="B199" s="6">
        <f t="shared" si="3"/>
        <v>2004</v>
      </c>
      <c r="C199" s="9">
        <v>38078</v>
      </c>
      <c r="D199" s="29">
        <v>77.647000000000006</v>
      </c>
      <c r="E199" s="29">
        <v>70.602000000000004</v>
      </c>
      <c r="F199" s="29">
        <v>61.45</v>
      </c>
      <c r="G199" s="29">
        <v>128.84899999999999</v>
      </c>
      <c r="H199" s="29">
        <v>75.19</v>
      </c>
      <c r="I199" s="29">
        <v>83.152000000000001</v>
      </c>
      <c r="J199" s="29">
        <v>73.326999999999998</v>
      </c>
      <c r="K199" s="29">
        <v>70.781000000000006</v>
      </c>
      <c r="L199" s="29">
        <v>90.564999999999998</v>
      </c>
      <c r="M199" s="29">
        <v>99.081999999999994</v>
      </c>
      <c r="N199" s="29">
        <v>37.978000000000002</v>
      </c>
      <c r="O199" s="29">
        <v>71.403000000000006</v>
      </c>
      <c r="P199" s="29">
        <v>79.162999999999997</v>
      </c>
      <c r="Q199" s="29">
        <v>74.277000000000001</v>
      </c>
      <c r="R199" s="29">
        <v>41.472999999999999</v>
      </c>
    </row>
    <row r="200" spans="1:18" x14ac:dyDescent="0.2">
      <c r="A200" s="8">
        <v>200405</v>
      </c>
      <c r="B200" s="6">
        <f t="shared" si="3"/>
        <v>2004</v>
      </c>
      <c r="C200" s="9">
        <v>38108</v>
      </c>
      <c r="D200" s="29">
        <v>77.870999999999995</v>
      </c>
      <c r="E200" s="29">
        <v>70.816000000000003</v>
      </c>
      <c r="F200" s="29">
        <v>61.576999999999998</v>
      </c>
      <c r="G200" s="29">
        <v>129.185</v>
      </c>
      <c r="H200" s="29">
        <v>75.212999999999994</v>
      </c>
      <c r="I200" s="29">
        <v>83.820999999999998</v>
      </c>
      <c r="J200" s="29">
        <v>73.42</v>
      </c>
      <c r="K200" s="29">
        <v>71.837999999999994</v>
      </c>
      <c r="L200" s="29">
        <v>90.477000000000004</v>
      </c>
      <c r="M200" s="29">
        <v>98.787000000000006</v>
      </c>
      <c r="N200" s="29">
        <v>37.978000000000002</v>
      </c>
      <c r="O200" s="29">
        <v>71.616</v>
      </c>
      <c r="P200" s="29">
        <v>79.216999999999999</v>
      </c>
      <c r="Q200" s="29">
        <v>74.33</v>
      </c>
      <c r="R200" s="29">
        <v>41.78</v>
      </c>
    </row>
    <row r="201" spans="1:18" x14ac:dyDescent="0.2">
      <c r="A201" s="8">
        <v>200406</v>
      </c>
      <c r="B201" s="6">
        <f t="shared" si="3"/>
        <v>2004</v>
      </c>
      <c r="C201" s="9">
        <v>38139</v>
      </c>
      <c r="D201" s="29">
        <v>77.855000000000004</v>
      </c>
      <c r="E201" s="29">
        <v>70.284999999999997</v>
      </c>
      <c r="F201" s="29">
        <v>61.588000000000001</v>
      </c>
      <c r="G201" s="29">
        <v>127.824</v>
      </c>
      <c r="H201" s="29">
        <v>75.274000000000001</v>
      </c>
      <c r="I201" s="29">
        <v>83.706000000000003</v>
      </c>
      <c r="J201" s="29">
        <v>73.543999999999997</v>
      </c>
      <c r="K201" s="29">
        <v>71.894000000000005</v>
      </c>
      <c r="L201" s="29">
        <v>90.067999999999998</v>
      </c>
      <c r="M201" s="29">
        <v>99.269000000000005</v>
      </c>
      <c r="N201" s="29">
        <v>37.978000000000002</v>
      </c>
      <c r="O201" s="29">
        <v>71.778999999999996</v>
      </c>
      <c r="P201" s="29">
        <v>79.134</v>
      </c>
      <c r="Q201" s="29">
        <v>74.47</v>
      </c>
      <c r="R201" s="29">
        <v>41.816000000000003</v>
      </c>
    </row>
    <row r="202" spans="1:18" x14ac:dyDescent="0.2">
      <c r="A202" s="8">
        <v>200407</v>
      </c>
      <c r="B202" s="6">
        <f t="shared" si="3"/>
        <v>2004</v>
      </c>
      <c r="C202" s="9">
        <v>38169</v>
      </c>
      <c r="D202" s="29">
        <v>77.712999999999994</v>
      </c>
      <c r="E202" s="29">
        <v>69.825999999999993</v>
      </c>
      <c r="F202" s="29">
        <v>61.802999999999997</v>
      </c>
      <c r="G202" s="29">
        <v>122.624</v>
      </c>
      <c r="H202" s="29">
        <v>75.302000000000007</v>
      </c>
      <c r="I202" s="29">
        <v>81.948999999999998</v>
      </c>
      <c r="J202" s="29">
        <v>73.620999999999995</v>
      </c>
      <c r="K202" s="29">
        <v>72.882999999999996</v>
      </c>
      <c r="L202" s="29">
        <v>89.024000000000001</v>
      </c>
      <c r="M202" s="29">
        <v>99.063999999999993</v>
      </c>
      <c r="N202" s="29">
        <v>37.978000000000002</v>
      </c>
      <c r="O202" s="29">
        <v>71.875</v>
      </c>
      <c r="P202" s="29">
        <v>79.366</v>
      </c>
      <c r="Q202" s="29">
        <v>74.709000000000003</v>
      </c>
      <c r="R202" s="29">
        <v>41.970999999999997</v>
      </c>
    </row>
    <row r="203" spans="1:18" x14ac:dyDescent="0.2">
      <c r="A203" s="8">
        <v>200408</v>
      </c>
      <c r="B203" s="6">
        <f t="shared" si="3"/>
        <v>2004</v>
      </c>
      <c r="C203" s="9">
        <v>38200</v>
      </c>
      <c r="D203" s="29">
        <v>77.872</v>
      </c>
      <c r="E203" s="29">
        <v>69.653999999999996</v>
      </c>
      <c r="F203" s="29">
        <v>61.991</v>
      </c>
      <c r="G203" s="29">
        <v>124.271</v>
      </c>
      <c r="H203" s="29">
        <v>75.352000000000004</v>
      </c>
      <c r="I203" s="29">
        <v>82.399000000000001</v>
      </c>
      <c r="J203" s="29">
        <v>73.581000000000003</v>
      </c>
      <c r="K203" s="29">
        <v>73.207999999999998</v>
      </c>
      <c r="L203" s="29">
        <v>88.995999999999995</v>
      </c>
      <c r="M203" s="29">
        <v>99.09</v>
      </c>
      <c r="N203" s="29">
        <v>37.978000000000002</v>
      </c>
      <c r="O203" s="29">
        <v>72.024000000000001</v>
      </c>
      <c r="P203" s="29">
        <v>79.566999999999993</v>
      </c>
      <c r="Q203" s="29">
        <v>74.789000000000001</v>
      </c>
      <c r="R203" s="29">
        <v>42.284999999999997</v>
      </c>
    </row>
    <row r="204" spans="1:18" x14ac:dyDescent="0.2">
      <c r="A204" s="8">
        <v>200409</v>
      </c>
      <c r="B204" s="6">
        <f t="shared" si="3"/>
        <v>2004</v>
      </c>
      <c r="C204" s="9">
        <v>38231</v>
      </c>
      <c r="D204" s="29">
        <v>77.918999999999997</v>
      </c>
      <c r="E204" s="29">
        <v>69.844999999999999</v>
      </c>
      <c r="F204" s="29">
        <v>62.11</v>
      </c>
      <c r="G204" s="29">
        <v>127.47799999999999</v>
      </c>
      <c r="H204" s="29">
        <v>75.424999999999997</v>
      </c>
      <c r="I204" s="29">
        <v>83.27</v>
      </c>
      <c r="J204" s="29">
        <v>73.960999999999999</v>
      </c>
      <c r="K204" s="29">
        <v>71.953000000000003</v>
      </c>
      <c r="L204" s="29">
        <v>88.114000000000004</v>
      </c>
      <c r="M204" s="29">
        <v>99.022999999999996</v>
      </c>
      <c r="N204" s="29">
        <v>38.887999999999998</v>
      </c>
      <c r="O204" s="29">
        <v>72.085999999999999</v>
      </c>
      <c r="P204" s="29">
        <v>79.759</v>
      </c>
      <c r="Q204" s="29">
        <v>74.884</v>
      </c>
      <c r="R204" s="29">
        <v>42.555</v>
      </c>
    </row>
    <row r="205" spans="1:18" x14ac:dyDescent="0.2">
      <c r="A205" s="8">
        <v>200410</v>
      </c>
      <c r="B205" s="6">
        <f t="shared" si="3"/>
        <v>2004</v>
      </c>
      <c r="C205" s="9">
        <v>38261</v>
      </c>
      <c r="D205" s="29">
        <v>78.126000000000005</v>
      </c>
      <c r="E205" s="29">
        <v>69.984999999999999</v>
      </c>
      <c r="F205" s="29">
        <v>62.078000000000003</v>
      </c>
      <c r="G205" s="29">
        <v>127.453</v>
      </c>
      <c r="H205" s="29">
        <v>75.786000000000001</v>
      </c>
      <c r="I205" s="29">
        <v>82.573999999999998</v>
      </c>
      <c r="J205" s="29">
        <v>74.305000000000007</v>
      </c>
      <c r="K205" s="29">
        <v>71.837999999999994</v>
      </c>
      <c r="L205" s="29">
        <v>88.241</v>
      </c>
      <c r="M205" s="29">
        <v>99.001999999999995</v>
      </c>
      <c r="N205" s="29">
        <v>39.863</v>
      </c>
      <c r="O205" s="29">
        <v>72.31</v>
      </c>
      <c r="P205" s="29">
        <v>80.784000000000006</v>
      </c>
      <c r="Q205" s="29">
        <v>75.305999999999997</v>
      </c>
      <c r="R205" s="29">
        <v>43.405000000000001</v>
      </c>
    </row>
    <row r="206" spans="1:18" x14ac:dyDescent="0.2">
      <c r="A206" s="8">
        <v>200411</v>
      </c>
      <c r="B206" s="6">
        <f t="shared" si="3"/>
        <v>2004</v>
      </c>
      <c r="C206" s="9">
        <v>38292</v>
      </c>
      <c r="D206" s="29">
        <v>78.257999999999996</v>
      </c>
      <c r="E206" s="29">
        <v>70.301000000000002</v>
      </c>
      <c r="F206" s="29">
        <v>61.720999999999997</v>
      </c>
      <c r="G206" s="29">
        <v>127.974</v>
      </c>
      <c r="H206" s="29">
        <v>75.957999999999998</v>
      </c>
      <c r="I206" s="29">
        <v>83.236999999999995</v>
      </c>
      <c r="J206" s="29">
        <v>74.335999999999999</v>
      </c>
      <c r="K206" s="29">
        <v>71.863</v>
      </c>
      <c r="L206" s="29">
        <v>87.938000000000002</v>
      </c>
      <c r="M206" s="29">
        <v>98.831000000000003</v>
      </c>
      <c r="N206" s="29">
        <v>39.863</v>
      </c>
      <c r="O206" s="29">
        <v>72.522999999999996</v>
      </c>
      <c r="P206" s="29">
        <v>80.900000000000006</v>
      </c>
      <c r="Q206" s="29">
        <v>75.385999999999996</v>
      </c>
      <c r="R206" s="29">
        <v>44.216000000000001</v>
      </c>
    </row>
    <row r="207" spans="1:18" x14ac:dyDescent="0.2">
      <c r="A207" s="8">
        <v>200412</v>
      </c>
      <c r="B207" s="6">
        <f t="shared" si="3"/>
        <v>2004</v>
      </c>
      <c r="C207" s="9">
        <v>38322</v>
      </c>
      <c r="D207" s="29">
        <v>78.622</v>
      </c>
      <c r="E207" s="29">
        <v>70.765000000000001</v>
      </c>
      <c r="F207" s="29">
        <v>61.433</v>
      </c>
      <c r="G207" s="29">
        <v>126.205</v>
      </c>
      <c r="H207" s="29">
        <v>76.168999999999997</v>
      </c>
      <c r="I207" s="29">
        <v>85.149000000000001</v>
      </c>
      <c r="J207" s="29">
        <v>74.222999999999999</v>
      </c>
      <c r="K207" s="29">
        <v>73.162000000000006</v>
      </c>
      <c r="L207" s="29">
        <v>87.631</v>
      </c>
      <c r="M207" s="29">
        <v>99.036000000000001</v>
      </c>
      <c r="N207" s="29">
        <v>39.863</v>
      </c>
      <c r="O207" s="29">
        <v>72.691999999999993</v>
      </c>
      <c r="P207" s="29">
        <v>81.039000000000001</v>
      </c>
      <c r="Q207" s="29">
        <v>75.465999999999994</v>
      </c>
      <c r="R207" s="29">
        <v>45.069000000000003</v>
      </c>
    </row>
    <row r="208" spans="1:18" x14ac:dyDescent="0.2">
      <c r="A208" s="10" t="s">
        <v>4</v>
      </c>
      <c r="B208" s="6">
        <f t="shared" si="3"/>
        <v>2004</v>
      </c>
      <c r="C208" s="11">
        <v>38353</v>
      </c>
      <c r="D208" s="30">
        <v>78.320999999999998</v>
      </c>
      <c r="E208" s="30">
        <v>70.906999999999996</v>
      </c>
      <c r="F208" s="30">
        <v>62.055</v>
      </c>
      <c r="G208" s="30">
        <v>121.64100000000001</v>
      </c>
      <c r="H208" s="30">
        <v>76.358000000000004</v>
      </c>
      <c r="I208" s="30">
        <v>81.775999999999996</v>
      </c>
      <c r="J208" s="30">
        <v>74.741</v>
      </c>
      <c r="K208" s="30">
        <v>72.015000000000001</v>
      </c>
      <c r="L208" s="30">
        <v>87.525999999999996</v>
      </c>
      <c r="M208" s="30">
        <v>98.504999999999995</v>
      </c>
      <c r="N208" s="30">
        <v>39.863</v>
      </c>
      <c r="O208" s="30">
        <v>72.778999999999996</v>
      </c>
      <c r="P208" s="30">
        <v>81.932000000000002</v>
      </c>
      <c r="Q208" s="30">
        <v>75.686999999999998</v>
      </c>
      <c r="R208" s="30">
        <v>45.777999999999999</v>
      </c>
    </row>
    <row r="209" spans="1:18" x14ac:dyDescent="0.2">
      <c r="A209" s="10" t="s">
        <v>5</v>
      </c>
      <c r="B209" s="6">
        <f t="shared" si="3"/>
        <v>2004</v>
      </c>
      <c r="C209" s="11">
        <v>38384</v>
      </c>
      <c r="D209" s="30">
        <v>78.497</v>
      </c>
      <c r="E209" s="30">
        <v>71.411000000000001</v>
      </c>
      <c r="F209" s="30">
        <v>62.338000000000001</v>
      </c>
      <c r="G209" s="30">
        <v>121.495</v>
      </c>
      <c r="H209" s="30">
        <v>76.462000000000003</v>
      </c>
      <c r="I209" s="30">
        <v>82.102999999999994</v>
      </c>
      <c r="J209" s="30">
        <v>74.86</v>
      </c>
      <c r="K209" s="30">
        <v>72.692999999999998</v>
      </c>
      <c r="L209" s="30">
        <v>87.709000000000003</v>
      </c>
      <c r="M209" s="30">
        <v>98.037999999999997</v>
      </c>
      <c r="N209" s="30">
        <v>39.863</v>
      </c>
      <c r="O209" s="30">
        <v>72.974999999999994</v>
      </c>
      <c r="P209" s="30">
        <v>81.977000000000004</v>
      </c>
      <c r="Q209" s="30">
        <v>75.724000000000004</v>
      </c>
      <c r="R209" s="30">
        <v>46.048000000000002</v>
      </c>
    </row>
    <row r="210" spans="1:18" x14ac:dyDescent="0.2">
      <c r="A210" s="10" t="s">
        <v>6</v>
      </c>
      <c r="B210" s="6">
        <f t="shared" si="3"/>
        <v>2004</v>
      </c>
      <c r="C210" s="11">
        <v>38412</v>
      </c>
      <c r="D210" s="30">
        <v>78.801000000000002</v>
      </c>
      <c r="E210" s="30">
        <v>71.998999999999995</v>
      </c>
      <c r="F210" s="30">
        <v>62.033999999999999</v>
      </c>
      <c r="G210" s="30">
        <v>122.40600000000001</v>
      </c>
      <c r="H210" s="30">
        <v>76.662000000000006</v>
      </c>
      <c r="I210" s="30">
        <v>83.447999999999993</v>
      </c>
      <c r="J210" s="30">
        <v>74.92</v>
      </c>
      <c r="K210" s="30">
        <v>73.236999999999995</v>
      </c>
      <c r="L210" s="30">
        <v>87.585999999999999</v>
      </c>
      <c r="M210" s="30">
        <v>98.069000000000003</v>
      </c>
      <c r="N210" s="30">
        <v>39.863</v>
      </c>
      <c r="O210" s="30">
        <v>73.17</v>
      </c>
      <c r="P210" s="30">
        <v>82.141999999999996</v>
      </c>
      <c r="Q210" s="30">
        <v>75.72</v>
      </c>
      <c r="R210" s="30">
        <v>46.526000000000003</v>
      </c>
    </row>
    <row r="211" spans="1:18" x14ac:dyDescent="0.2">
      <c r="A211" s="10" t="s">
        <v>7</v>
      </c>
      <c r="B211" s="6">
        <f t="shared" si="3"/>
        <v>2005</v>
      </c>
      <c r="C211" s="11">
        <v>38443</v>
      </c>
      <c r="D211" s="30">
        <v>79.13</v>
      </c>
      <c r="E211" s="30">
        <v>71.349999999999994</v>
      </c>
      <c r="F211" s="30">
        <v>62.761000000000003</v>
      </c>
      <c r="G211" s="30">
        <v>121.979</v>
      </c>
      <c r="H211" s="30">
        <v>77.388000000000005</v>
      </c>
      <c r="I211" s="30">
        <v>82.352000000000004</v>
      </c>
      <c r="J211" s="30">
        <v>75.361999999999995</v>
      </c>
      <c r="K211" s="30">
        <v>73.647000000000006</v>
      </c>
      <c r="L211" s="30">
        <v>87.591999999999999</v>
      </c>
      <c r="M211" s="30">
        <v>98.478999999999999</v>
      </c>
      <c r="N211" s="30">
        <v>39.863</v>
      </c>
      <c r="O211" s="30">
        <v>73.757999999999996</v>
      </c>
      <c r="P211" s="30">
        <v>82.551000000000002</v>
      </c>
      <c r="Q211" s="30">
        <v>77.091999999999999</v>
      </c>
      <c r="R211" s="30">
        <v>46.78</v>
      </c>
    </row>
    <row r="212" spans="1:18" x14ac:dyDescent="0.2">
      <c r="A212" s="10" t="s">
        <v>8</v>
      </c>
      <c r="B212" s="6">
        <f t="shared" si="3"/>
        <v>2005</v>
      </c>
      <c r="C212" s="11">
        <v>38473</v>
      </c>
      <c r="D212" s="30">
        <v>79.355000000000004</v>
      </c>
      <c r="E212" s="30">
        <v>71.802999999999997</v>
      </c>
      <c r="F212" s="30">
        <v>63.009</v>
      </c>
      <c r="G212" s="30">
        <v>122.024</v>
      </c>
      <c r="H212" s="30">
        <v>77.52</v>
      </c>
      <c r="I212" s="30">
        <v>83.019000000000005</v>
      </c>
      <c r="J212" s="30">
        <v>75.507000000000005</v>
      </c>
      <c r="K212" s="30">
        <v>74.332999999999998</v>
      </c>
      <c r="L212" s="30">
        <v>87.207999999999998</v>
      </c>
      <c r="M212" s="30">
        <v>98.236999999999995</v>
      </c>
      <c r="N212" s="30">
        <v>39.863</v>
      </c>
      <c r="O212" s="30">
        <v>73.991</v>
      </c>
      <c r="P212" s="30">
        <v>82.671000000000006</v>
      </c>
      <c r="Q212" s="30">
        <v>77.156999999999996</v>
      </c>
      <c r="R212" s="30">
        <v>46.762</v>
      </c>
    </row>
    <row r="213" spans="1:18" x14ac:dyDescent="0.2">
      <c r="A213" s="10" t="s">
        <v>9</v>
      </c>
      <c r="B213" s="6">
        <f t="shared" si="3"/>
        <v>2005</v>
      </c>
      <c r="C213" s="11">
        <v>38504</v>
      </c>
      <c r="D213" s="30">
        <v>79.426000000000002</v>
      </c>
      <c r="E213" s="30">
        <v>71.819999999999993</v>
      </c>
      <c r="F213" s="30">
        <v>63.03</v>
      </c>
      <c r="G213" s="30">
        <v>121.627</v>
      </c>
      <c r="H213" s="30">
        <v>77.679000000000002</v>
      </c>
      <c r="I213" s="30">
        <v>83.253</v>
      </c>
      <c r="J213" s="30">
        <v>75.581000000000003</v>
      </c>
      <c r="K213" s="30">
        <v>74.41</v>
      </c>
      <c r="L213" s="30">
        <v>87.397999999999996</v>
      </c>
      <c r="M213" s="30">
        <v>98.072000000000003</v>
      </c>
      <c r="N213" s="30">
        <v>39.863</v>
      </c>
      <c r="O213" s="30">
        <v>74.085999999999999</v>
      </c>
      <c r="P213" s="30">
        <v>82.796999999999997</v>
      </c>
      <c r="Q213" s="30">
        <v>77.16</v>
      </c>
      <c r="R213" s="30">
        <v>47.09</v>
      </c>
    </row>
    <row r="214" spans="1:18" x14ac:dyDescent="0.2">
      <c r="A214" s="10" t="s">
        <v>10</v>
      </c>
      <c r="B214" s="6">
        <f t="shared" si="3"/>
        <v>2005</v>
      </c>
      <c r="C214" s="11">
        <v>38534</v>
      </c>
      <c r="D214" s="30">
        <v>79.477999999999994</v>
      </c>
      <c r="E214" s="30">
        <v>71.010000000000005</v>
      </c>
      <c r="F214" s="30">
        <v>63.174999999999997</v>
      </c>
      <c r="G214" s="30">
        <v>116.724</v>
      </c>
      <c r="H214" s="30">
        <v>77.850999999999999</v>
      </c>
      <c r="I214" s="30">
        <v>82.495999999999995</v>
      </c>
      <c r="J214" s="30">
        <v>76.188999999999993</v>
      </c>
      <c r="K214" s="30">
        <v>76.129000000000005</v>
      </c>
      <c r="L214" s="30">
        <v>86.686000000000007</v>
      </c>
      <c r="M214" s="30">
        <v>97.611000000000004</v>
      </c>
      <c r="N214" s="30">
        <v>39.863</v>
      </c>
      <c r="O214" s="30">
        <v>74.338999999999999</v>
      </c>
      <c r="P214" s="30">
        <v>83.525000000000006</v>
      </c>
      <c r="Q214" s="30">
        <v>77.628</v>
      </c>
      <c r="R214" s="30">
        <v>47.31</v>
      </c>
    </row>
    <row r="215" spans="1:18" x14ac:dyDescent="0.2">
      <c r="A215" s="10" t="s">
        <v>11</v>
      </c>
      <c r="B215" s="6">
        <f t="shared" si="3"/>
        <v>2005</v>
      </c>
      <c r="C215" s="11">
        <v>38565</v>
      </c>
      <c r="D215" s="30">
        <v>79.712999999999994</v>
      </c>
      <c r="E215" s="30">
        <v>71.155000000000001</v>
      </c>
      <c r="F215" s="30">
        <v>63.124000000000002</v>
      </c>
      <c r="G215" s="30">
        <v>118.723</v>
      </c>
      <c r="H215" s="30">
        <v>77.965999999999994</v>
      </c>
      <c r="I215" s="30">
        <v>82.599000000000004</v>
      </c>
      <c r="J215" s="30">
        <v>76.344999999999999</v>
      </c>
      <c r="K215" s="30">
        <v>77.034999999999997</v>
      </c>
      <c r="L215" s="30">
        <v>87.022000000000006</v>
      </c>
      <c r="M215" s="30">
        <v>97.158000000000001</v>
      </c>
      <c r="N215" s="30">
        <v>39.863</v>
      </c>
      <c r="O215" s="30">
        <v>74.576999999999998</v>
      </c>
      <c r="P215" s="30">
        <v>83.671999999999997</v>
      </c>
      <c r="Q215" s="30">
        <v>77.742000000000004</v>
      </c>
      <c r="R215" s="30">
        <v>47.579000000000001</v>
      </c>
    </row>
    <row r="216" spans="1:18" x14ac:dyDescent="0.2">
      <c r="A216" s="10" t="s">
        <v>12</v>
      </c>
      <c r="B216" s="6">
        <f t="shared" si="3"/>
        <v>2005</v>
      </c>
      <c r="C216" s="11">
        <v>38596</v>
      </c>
      <c r="D216" s="30">
        <v>79.856999999999999</v>
      </c>
      <c r="E216" s="30">
        <v>71.171000000000006</v>
      </c>
      <c r="F216" s="30">
        <v>63.027999999999999</v>
      </c>
      <c r="G216" s="30">
        <v>120.71</v>
      </c>
      <c r="H216" s="30">
        <v>78.153999999999996</v>
      </c>
      <c r="I216" s="30">
        <v>83.14</v>
      </c>
      <c r="J216" s="30">
        <v>76.278999999999996</v>
      </c>
      <c r="K216" s="30">
        <v>76.363</v>
      </c>
      <c r="L216" s="30">
        <v>86.933000000000007</v>
      </c>
      <c r="M216" s="30">
        <v>97.447000000000003</v>
      </c>
      <c r="N216" s="30">
        <v>40.71</v>
      </c>
      <c r="O216" s="30">
        <v>74.772000000000006</v>
      </c>
      <c r="P216" s="30">
        <v>83.83</v>
      </c>
      <c r="Q216" s="30">
        <v>77.814999999999998</v>
      </c>
      <c r="R216" s="30">
        <v>48.186999999999998</v>
      </c>
    </row>
    <row r="217" spans="1:18" x14ac:dyDescent="0.2">
      <c r="A217" s="10" t="s">
        <v>13</v>
      </c>
      <c r="B217" s="6">
        <f t="shared" si="3"/>
        <v>2005</v>
      </c>
      <c r="C217" s="11">
        <v>38626</v>
      </c>
      <c r="D217" s="30">
        <v>79.997</v>
      </c>
      <c r="E217" s="30">
        <v>71.007999999999996</v>
      </c>
      <c r="F217" s="30">
        <v>63.295999999999999</v>
      </c>
      <c r="G217" s="30">
        <v>120.736</v>
      </c>
      <c r="H217" s="30">
        <v>78.495999999999995</v>
      </c>
      <c r="I217" s="30">
        <v>82.494</v>
      </c>
      <c r="J217" s="30">
        <v>76.483999999999995</v>
      </c>
      <c r="K217" s="30">
        <v>76.180999999999997</v>
      </c>
      <c r="L217" s="30">
        <v>86.707999999999998</v>
      </c>
      <c r="M217" s="30">
        <v>97.516999999999996</v>
      </c>
      <c r="N217" s="30">
        <v>41.75</v>
      </c>
      <c r="O217" s="30">
        <v>75.007000000000005</v>
      </c>
      <c r="P217" s="30">
        <v>84.197999999999993</v>
      </c>
      <c r="Q217" s="30">
        <v>77.852999999999994</v>
      </c>
      <c r="R217" s="30">
        <v>49.622</v>
      </c>
    </row>
    <row r="218" spans="1:18" x14ac:dyDescent="0.2">
      <c r="A218" s="10" t="s">
        <v>14</v>
      </c>
      <c r="B218" s="6">
        <f t="shared" si="3"/>
        <v>2005</v>
      </c>
      <c r="C218" s="11">
        <v>38657</v>
      </c>
      <c r="D218" s="30">
        <v>80.016999999999996</v>
      </c>
      <c r="E218" s="30">
        <v>71.462999999999994</v>
      </c>
      <c r="F218" s="30">
        <v>63.317999999999998</v>
      </c>
      <c r="G218" s="30">
        <v>121.431</v>
      </c>
      <c r="H218" s="30">
        <v>78.673000000000002</v>
      </c>
      <c r="I218" s="30">
        <v>83.33</v>
      </c>
      <c r="J218" s="30">
        <v>76.460999999999999</v>
      </c>
      <c r="K218" s="30">
        <v>75.034999999999997</v>
      </c>
      <c r="L218" s="30">
        <v>86.747</v>
      </c>
      <c r="M218" s="30">
        <v>97.322000000000003</v>
      </c>
      <c r="N218" s="30">
        <v>41.75</v>
      </c>
      <c r="O218" s="30">
        <v>75.055999999999997</v>
      </c>
      <c r="P218" s="30">
        <v>84.375</v>
      </c>
      <c r="Q218" s="30">
        <v>77.900999999999996</v>
      </c>
      <c r="R218" s="30">
        <v>50.561</v>
      </c>
    </row>
    <row r="219" spans="1:18" x14ac:dyDescent="0.2">
      <c r="A219" s="10" t="s">
        <v>15</v>
      </c>
      <c r="B219" s="6">
        <f t="shared" si="3"/>
        <v>2005</v>
      </c>
      <c r="C219" s="11">
        <v>38687</v>
      </c>
      <c r="D219" s="30">
        <v>80.259</v>
      </c>
      <c r="E219" s="30">
        <v>71.912000000000006</v>
      </c>
      <c r="F219" s="30">
        <v>63.027999999999999</v>
      </c>
      <c r="G219" s="30">
        <v>120.97799999999999</v>
      </c>
      <c r="H219" s="30">
        <v>78.953000000000003</v>
      </c>
      <c r="I219" s="30">
        <v>85.206999999999994</v>
      </c>
      <c r="J219" s="30">
        <v>75.977999999999994</v>
      </c>
      <c r="K219" s="30">
        <v>75.287000000000006</v>
      </c>
      <c r="L219" s="30">
        <v>86.62</v>
      </c>
      <c r="M219" s="30">
        <v>97.372</v>
      </c>
      <c r="N219" s="30">
        <v>41.75</v>
      </c>
      <c r="O219" s="30">
        <v>75.215000000000003</v>
      </c>
      <c r="P219" s="30">
        <v>84.442999999999998</v>
      </c>
      <c r="Q219" s="30">
        <v>77.971999999999994</v>
      </c>
      <c r="R219" s="30">
        <v>51.335000000000001</v>
      </c>
    </row>
    <row r="220" spans="1:18" x14ac:dyDescent="0.2">
      <c r="A220" s="10" t="s">
        <v>16</v>
      </c>
      <c r="B220" s="6">
        <f t="shared" si="3"/>
        <v>2005</v>
      </c>
      <c r="C220" s="11">
        <v>38718</v>
      </c>
      <c r="D220" s="30">
        <v>80.010999999999996</v>
      </c>
      <c r="E220" s="30">
        <v>71.707999999999998</v>
      </c>
      <c r="F220" s="30">
        <v>63.524000000000001</v>
      </c>
      <c r="G220" s="30">
        <v>116</v>
      </c>
      <c r="H220" s="30">
        <v>79.272999999999996</v>
      </c>
      <c r="I220" s="30">
        <v>81.081999999999994</v>
      </c>
      <c r="J220" s="30">
        <v>76.462000000000003</v>
      </c>
      <c r="K220" s="30">
        <v>75.718999999999994</v>
      </c>
      <c r="L220" s="30">
        <v>87.831999999999994</v>
      </c>
      <c r="M220" s="30">
        <v>96.518000000000001</v>
      </c>
      <c r="N220" s="30">
        <v>41.75</v>
      </c>
      <c r="O220" s="30">
        <v>75.274000000000001</v>
      </c>
      <c r="P220" s="30">
        <v>84.805999999999997</v>
      </c>
      <c r="Q220" s="30">
        <v>78.075000000000003</v>
      </c>
      <c r="R220" s="30">
        <v>51.802</v>
      </c>
    </row>
    <row r="221" spans="1:18" x14ac:dyDescent="0.2">
      <c r="A221" s="10" t="s">
        <v>17</v>
      </c>
      <c r="B221" s="6">
        <f t="shared" si="3"/>
        <v>2005</v>
      </c>
      <c r="C221" s="11">
        <v>38749</v>
      </c>
      <c r="D221" s="30">
        <v>80.242000000000004</v>
      </c>
      <c r="E221" s="30">
        <v>72.134</v>
      </c>
      <c r="F221" s="30">
        <v>63.384999999999998</v>
      </c>
      <c r="G221" s="30">
        <v>115.893</v>
      </c>
      <c r="H221" s="30">
        <v>79.423000000000002</v>
      </c>
      <c r="I221" s="30">
        <v>81.611999999999995</v>
      </c>
      <c r="J221" s="30">
        <v>76.59</v>
      </c>
      <c r="K221" s="30">
        <v>75.832999999999998</v>
      </c>
      <c r="L221" s="30">
        <v>87.927000000000007</v>
      </c>
      <c r="M221" s="30">
        <v>97.257999999999996</v>
      </c>
      <c r="N221" s="30">
        <v>41.75</v>
      </c>
      <c r="O221" s="30">
        <v>75.537999999999997</v>
      </c>
      <c r="P221" s="30">
        <v>84.903999999999996</v>
      </c>
      <c r="Q221" s="30">
        <v>78.188000000000002</v>
      </c>
      <c r="R221" s="30">
        <v>52.24</v>
      </c>
    </row>
    <row r="222" spans="1:18" x14ac:dyDescent="0.2">
      <c r="A222" s="10" t="s">
        <v>18</v>
      </c>
      <c r="B222" s="6">
        <f t="shared" si="3"/>
        <v>2005</v>
      </c>
      <c r="C222" s="11">
        <v>38777</v>
      </c>
      <c r="D222" s="30">
        <v>80.400000000000006</v>
      </c>
      <c r="E222" s="30">
        <v>71.664000000000001</v>
      </c>
      <c r="F222" s="30">
        <v>63.584000000000003</v>
      </c>
      <c r="G222" s="30">
        <v>116.702</v>
      </c>
      <c r="H222" s="30">
        <v>79.694999999999993</v>
      </c>
      <c r="I222" s="30">
        <v>83.134</v>
      </c>
      <c r="J222" s="30">
        <v>76.521000000000001</v>
      </c>
      <c r="K222" s="30">
        <v>75.856999999999999</v>
      </c>
      <c r="L222" s="30">
        <v>87.863</v>
      </c>
      <c r="M222" s="30">
        <v>96.734999999999999</v>
      </c>
      <c r="N222" s="30">
        <v>41.75</v>
      </c>
      <c r="O222" s="30">
        <v>75.786000000000001</v>
      </c>
      <c r="P222" s="30">
        <v>85.135999999999996</v>
      </c>
      <c r="Q222" s="30">
        <v>78.222999999999999</v>
      </c>
      <c r="R222" s="30">
        <v>53.652000000000001</v>
      </c>
    </row>
    <row r="223" spans="1:18" x14ac:dyDescent="0.2">
      <c r="A223" s="10" t="s">
        <v>19</v>
      </c>
      <c r="B223" s="6">
        <f t="shared" si="3"/>
        <v>2006</v>
      </c>
      <c r="C223" s="11">
        <v>38808</v>
      </c>
      <c r="D223" s="30">
        <v>80.905000000000001</v>
      </c>
      <c r="E223" s="30">
        <v>71.545000000000002</v>
      </c>
      <c r="F223" s="30">
        <v>64.322999999999993</v>
      </c>
      <c r="G223" s="30">
        <v>116.614</v>
      </c>
      <c r="H223" s="30">
        <v>80.744</v>
      </c>
      <c r="I223" s="30">
        <v>81.644000000000005</v>
      </c>
      <c r="J223" s="30">
        <v>77.393000000000001</v>
      </c>
      <c r="K223" s="30">
        <v>76.926000000000002</v>
      </c>
      <c r="L223" s="30">
        <v>87.912999999999997</v>
      </c>
      <c r="M223" s="30">
        <v>96.95</v>
      </c>
      <c r="N223" s="30">
        <v>41.75</v>
      </c>
      <c r="O223" s="30">
        <v>75.974000000000004</v>
      </c>
      <c r="P223" s="30">
        <v>85.864000000000004</v>
      </c>
      <c r="Q223" s="30">
        <v>79.332999999999998</v>
      </c>
      <c r="R223" s="30">
        <v>56.319000000000003</v>
      </c>
    </row>
    <row r="224" spans="1:18" x14ac:dyDescent="0.2">
      <c r="A224" s="10" t="s">
        <v>20</v>
      </c>
      <c r="B224" s="6">
        <f t="shared" si="3"/>
        <v>2006</v>
      </c>
      <c r="C224" s="11">
        <v>38838</v>
      </c>
      <c r="D224" s="30">
        <v>81.275999999999996</v>
      </c>
      <c r="E224" s="30">
        <v>72.569000000000003</v>
      </c>
      <c r="F224" s="30">
        <v>64.414000000000001</v>
      </c>
      <c r="G224" s="30">
        <v>117.505</v>
      </c>
      <c r="H224" s="30">
        <v>81.164000000000001</v>
      </c>
      <c r="I224" s="30">
        <v>82.31</v>
      </c>
      <c r="J224" s="30">
        <v>77.733000000000004</v>
      </c>
      <c r="K224" s="30">
        <v>77.367999999999995</v>
      </c>
      <c r="L224" s="30">
        <v>86.938000000000002</v>
      </c>
      <c r="M224" s="30">
        <v>96.727999999999994</v>
      </c>
      <c r="N224" s="30">
        <v>41.75</v>
      </c>
      <c r="O224" s="30">
        <v>76.382999999999996</v>
      </c>
      <c r="P224" s="30">
        <v>85.989000000000004</v>
      </c>
      <c r="Q224" s="30">
        <v>79.438999999999993</v>
      </c>
      <c r="R224" s="30">
        <v>59.006</v>
      </c>
    </row>
    <row r="225" spans="1:18" x14ac:dyDescent="0.2">
      <c r="A225" s="10" t="s">
        <v>21</v>
      </c>
      <c r="B225" s="6">
        <f t="shared" si="3"/>
        <v>2006</v>
      </c>
      <c r="C225" s="11">
        <v>38869</v>
      </c>
      <c r="D225" s="30">
        <v>81.501000000000005</v>
      </c>
      <c r="E225" s="30">
        <v>73.093000000000004</v>
      </c>
      <c r="F225" s="30">
        <v>65.082999999999998</v>
      </c>
      <c r="G225" s="30">
        <v>116.89</v>
      </c>
      <c r="H225" s="30">
        <v>81.481999999999999</v>
      </c>
      <c r="I225" s="30">
        <v>83.105999999999995</v>
      </c>
      <c r="J225" s="30">
        <v>77.635000000000005</v>
      </c>
      <c r="K225" s="30">
        <v>77.375</v>
      </c>
      <c r="L225" s="30">
        <v>87.176000000000002</v>
      </c>
      <c r="M225" s="30">
        <v>96.546000000000006</v>
      </c>
      <c r="N225" s="30">
        <v>41.75</v>
      </c>
      <c r="O225" s="30">
        <v>76.477999999999994</v>
      </c>
      <c r="P225" s="30">
        <v>86.424999999999997</v>
      </c>
      <c r="Q225" s="30">
        <v>79.488</v>
      </c>
      <c r="R225" s="30">
        <v>60.404000000000003</v>
      </c>
    </row>
    <row r="226" spans="1:18" x14ac:dyDescent="0.2">
      <c r="A226" s="10" t="s">
        <v>22</v>
      </c>
      <c r="B226" s="6">
        <f t="shared" si="3"/>
        <v>2006</v>
      </c>
      <c r="C226" s="11">
        <v>38899</v>
      </c>
      <c r="D226" s="30">
        <v>81.474000000000004</v>
      </c>
      <c r="E226" s="30">
        <v>73.206999999999994</v>
      </c>
      <c r="F226" s="30">
        <v>64.951999999999998</v>
      </c>
      <c r="G226" s="30">
        <v>111.495</v>
      </c>
      <c r="H226" s="30">
        <v>81.75</v>
      </c>
      <c r="I226" s="30">
        <v>81.3</v>
      </c>
      <c r="J226" s="30">
        <v>77.992000000000004</v>
      </c>
      <c r="K226" s="30">
        <v>78.692999999999998</v>
      </c>
      <c r="L226" s="30">
        <v>86.989000000000004</v>
      </c>
      <c r="M226" s="30">
        <v>96.289000000000001</v>
      </c>
      <c r="N226" s="30">
        <v>41.75</v>
      </c>
      <c r="O226" s="30">
        <v>76.715000000000003</v>
      </c>
      <c r="P226" s="30">
        <v>86.483999999999995</v>
      </c>
      <c r="Q226" s="30">
        <v>80.037999999999997</v>
      </c>
      <c r="R226" s="30">
        <v>61.055</v>
      </c>
    </row>
    <row r="227" spans="1:18" x14ac:dyDescent="0.2">
      <c r="A227" s="10" t="s">
        <v>23</v>
      </c>
      <c r="B227" s="6">
        <f t="shared" si="3"/>
        <v>2006</v>
      </c>
      <c r="C227" s="11">
        <v>38930</v>
      </c>
      <c r="D227" s="30">
        <v>81.774000000000001</v>
      </c>
      <c r="E227" s="30">
        <v>73.516999999999996</v>
      </c>
      <c r="F227" s="30">
        <v>65.203999999999994</v>
      </c>
      <c r="G227" s="30">
        <v>114.072</v>
      </c>
      <c r="H227" s="30">
        <v>81.942999999999998</v>
      </c>
      <c r="I227" s="30">
        <v>82.072000000000003</v>
      </c>
      <c r="J227" s="30">
        <v>78.296999999999997</v>
      </c>
      <c r="K227" s="30">
        <v>78.957999999999998</v>
      </c>
      <c r="L227" s="30">
        <v>86.43</v>
      </c>
      <c r="M227" s="30">
        <v>96.27</v>
      </c>
      <c r="N227" s="30">
        <v>41.75</v>
      </c>
      <c r="O227" s="30">
        <v>76.83</v>
      </c>
      <c r="P227" s="30">
        <v>86.846000000000004</v>
      </c>
      <c r="Q227" s="30">
        <v>80.165999999999997</v>
      </c>
      <c r="R227" s="30">
        <v>61.566000000000003</v>
      </c>
    </row>
    <row r="228" spans="1:18" x14ac:dyDescent="0.2">
      <c r="A228" s="10" t="s">
        <v>24</v>
      </c>
      <c r="B228" s="6">
        <f t="shared" si="3"/>
        <v>2006</v>
      </c>
      <c r="C228" s="11">
        <v>38961</v>
      </c>
      <c r="D228" s="30">
        <v>81.867999999999995</v>
      </c>
      <c r="E228" s="30">
        <v>73.912000000000006</v>
      </c>
      <c r="F228" s="30">
        <v>65.191000000000003</v>
      </c>
      <c r="G228" s="30">
        <v>116.512</v>
      </c>
      <c r="H228" s="30">
        <v>82.15</v>
      </c>
      <c r="I228" s="30">
        <v>83.36</v>
      </c>
      <c r="J228" s="30">
        <v>78.414000000000001</v>
      </c>
      <c r="K228" s="30">
        <v>76.838999999999999</v>
      </c>
      <c r="L228" s="30">
        <v>86.876999999999995</v>
      </c>
      <c r="M228" s="30">
        <v>96.494</v>
      </c>
      <c r="N228" s="30">
        <v>43.59</v>
      </c>
      <c r="O228" s="30">
        <v>76.957999999999998</v>
      </c>
      <c r="P228" s="30">
        <v>87.072999999999993</v>
      </c>
      <c r="Q228" s="30">
        <v>80.126000000000005</v>
      </c>
      <c r="R228" s="30">
        <v>62.488999999999997</v>
      </c>
    </row>
    <row r="229" spans="1:18" x14ac:dyDescent="0.2">
      <c r="A229" s="10" t="s">
        <v>25</v>
      </c>
      <c r="B229" s="6">
        <f t="shared" si="3"/>
        <v>2006</v>
      </c>
      <c r="C229" s="11">
        <v>38991</v>
      </c>
      <c r="D229" s="30">
        <v>81.998000000000005</v>
      </c>
      <c r="E229" s="30">
        <v>74.305000000000007</v>
      </c>
      <c r="F229" s="30">
        <v>65.311999999999998</v>
      </c>
      <c r="G229" s="30">
        <v>116.824</v>
      </c>
      <c r="H229" s="30">
        <v>82.494</v>
      </c>
      <c r="I229" s="30">
        <v>82.072000000000003</v>
      </c>
      <c r="J229" s="30">
        <v>78.832999999999998</v>
      </c>
      <c r="K229" s="30">
        <v>75.825000000000003</v>
      </c>
      <c r="L229" s="30">
        <v>87.587000000000003</v>
      </c>
      <c r="M229" s="30">
        <v>96.491</v>
      </c>
      <c r="N229" s="30">
        <v>47.576999999999998</v>
      </c>
      <c r="O229" s="30">
        <v>77.287999999999997</v>
      </c>
      <c r="P229" s="30">
        <v>87.319000000000003</v>
      </c>
      <c r="Q229" s="30">
        <v>80.22</v>
      </c>
      <c r="R229" s="30">
        <v>64.587000000000003</v>
      </c>
    </row>
    <row r="230" spans="1:18" x14ac:dyDescent="0.2">
      <c r="A230" s="10" t="s">
        <v>26</v>
      </c>
      <c r="B230" s="6">
        <f t="shared" si="3"/>
        <v>2006</v>
      </c>
      <c r="C230" s="11">
        <v>39022</v>
      </c>
      <c r="D230" s="30">
        <v>82.221999999999994</v>
      </c>
      <c r="E230" s="30">
        <v>74.974999999999994</v>
      </c>
      <c r="F230" s="30">
        <v>64.971999999999994</v>
      </c>
      <c r="G230" s="30">
        <v>117.547</v>
      </c>
      <c r="H230" s="30">
        <v>82.846999999999994</v>
      </c>
      <c r="I230" s="30">
        <v>82.861999999999995</v>
      </c>
      <c r="J230" s="30">
        <v>78.807000000000002</v>
      </c>
      <c r="K230" s="30">
        <v>75.622</v>
      </c>
      <c r="L230" s="30">
        <v>87.483999999999995</v>
      </c>
      <c r="M230" s="30">
        <v>96.632000000000005</v>
      </c>
      <c r="N230" s="30">
        <v>47.576999999999998</v>
      </c>
      <c r="O230" s="30">
        <v>77.477999999999994</v>
      </c>
      <c r="P230" s="30">
        <v>87.271000000000001</v>
      </c>
      <c r="Q230" s="30">
        <v>80.364000000000004</v>
      </c>
      <c r="R230" s="30">
        <v>66.069999999999993</v>
      </c>
    </row>
    <row r="231" spans="1:18" x14ac:dyDescent="0.2">
      <c r="A231" s="10" t="s">
        <v>27</v>
      </c>
      <c r="B231" s="6">
        <f t="shared" si="3"/>
        <v>2006</v>
      </c>
      <c r="C231" s="11">
        <v>39052</v>
      </c>
      <c r="D231" s="30">
        <v>82.605000000000004</v>
      </c>
      <c r="E231" s="30">
        <v>75.143000000000001</v>
      </c>
      <c r="F231" s="30">
        <v>64.722999999999999</v>
      </c>
      <c r="G231" s="30">
        <v>116.029</v>
      </c>
      <c r="H231" s="30">
        <v>83.078999999999994</v>
      </c>
      <c r="I231" s="30">
        <v>85.712000000000003</v>
      </c>
      <c r="J231" s="30">
        <v>78.881</v>
      </c>
      <c r="K231" s="30">
        <v>76.808999999999997</v>
      </c>
      <c r="L231" s="30">
        <v>87.162999999999997</v>
      </c>
      <c r="M231" s="30">
        <v>97.090999999999994</v>
      </c>
      <c r="N231" s="30">
        <v>47.576999999999998</v>
      </c>
      <c r="O231" s="30">
        <v>77.644999999999996</v>
      </c>
      <c r="P231" s="30">
        <v>87.167000000000002</v>
      </c>
      <c r="Q231" s="30">
        <v>80.450999999999993</v>
      </c>
      <c r="R231" s="30">
        <v>67.122</v>
      </c>
    </row>
    <row r="232" spans="1:18" x14ac:dyDescent="0.2">
      <c r="A232" s="10" t="s">
        <v>28</v>
      </c>
      <c r="B232" s="6">
        <f t="shared" si="3"/>
        <v>2006</v>
      </c>
      <c r="C232" s="11">
        <v>39083</v>
      </c>
      <c r="D232" s="30">
        <v>82.146000000000001</v>
      </c>
      <c r="E232" s="30">
        <v>74.465000000000003</v>
      </c>
      <c r="F232" s="30">
        <v>65.704999999999998</v>
      </c>
      <c r="G232" s="30">
        <v>111.179</v>
      </c>
      <c r="H232" s="30">
        <v>83.355000000000004</v>
      </c>
      <c r="I232" s="30">
        <v>81.417000000000002</v>
      </c>
      <c r="J232" s="30">
        <v>79.353999999999999</v>
      </c>
      <c r="K232" s="30">
        <v>76.25</v>
      </c>
      <c r="L232" s="30">
        <v>86.346999999999994</v>
      </c>
      <c r="M232" s="30">
        <v>96.248000000000005</v>
      </c>
      <c r="N232" s="30">
        <v>47.576999999999998</v>
      </c>
      <c r="O232" s="30">
        <v>77.775999999999996</v>
      </c>
      <c r="P232" s="30">
        <v>87.393000000000001</v>
      </c>
      <c r="Q232" s="30">
        <v>80.73</v>
      </c>
      <c r="R232" s="30">
        <v>67.212999999999994</v>
      </c>
    </row>
    <row r="233" spans="1:18" x14ac:dyDescent="0.2">
      <c r="A233" s="10" t="s">
        <v>29</v>
      </c>
      <c r="B233" s="6">
        <f t="shared" si="3"/>
        <v>2006</v>
      </c>
      <c r="C233" s="11">
        <v>39114</v>
      </c>
      <c r="D233" s="30">
        <v>82.426000000000002</v>
      </c>
      <c r="E233" s="30">
        <v>75.201999999999998</v>
      </c>
      <c r="F233" s="30">
        <v>66.052999999999997</v>
      </c>
      <c r="G233" s="30">
        <v>111.042</v>
      </c>
      <c r="H233" s="30">
        <v>83.436000000000007</v>
      </c>
      <c r="I233" s="30">
        <v>82.488</v>
      </c>
      <c r="J233" s="30">
        <v>79.415000000000006</v>
      </c>
      <c r="K233" s="30">
        <v>76.718999999999994</v>
      </c>
      <c r="L233" s="30">
        <v>85.619</v>
      </c>
      <c r="M233" s="30">
        <v>96.3</v>
      </c>
      <c r="N233" s="30">
        <v>47.576999999999998</v>
      </c>
      <c r="O233" s="30">
        <v>78.009</v>
      </c>
      <c r="P233" s="30">
        <v>87.945999999999998</v>
      </c>
      <c r="Q233" s="30">
        <v>80.703000000000003</v>
      </c>
      <c r="R233" s="30">
        <v>67.481999999999999</v>
      </c>
    </row>
    <row r="234" spans="1:18" x14ac:dyDescent="0.2">
      <c r="A234" s="10" t="s">
        <v>30</v>
      </c>
      <c r="B234" s="6">
        <f t="shared" si="3"/>
        <v>2006</v>
      </c>
      <c r="C234" s="11">
        <v>39142</v>
      </c>
      <c r="D234" s="30">
        <v>82.77</v>
      </c>
      <c r="E234" s="30">
        <v>75.608999999999995</v>
      </c>
      <c r="F234" s="30">
        <v>66.341999999999999</v>
      </c>
      <c r="G234" s="30">
        <v>112.157</v>
      </c>
      <c r="H234" s="30">
        <v>83.506</v>
      </c>
      <c r="I234" s="30">
        <v>85.328999999999994</v>
      </c>
      <c r="J234" s="30">
        <v>79.346000000000004</v>
      </c>
      <c r="K234" s="30">
        <v>76.975999999999999</v>
      </c>
      <c r="L234" s="30">
        <v>85.561999999999998</v>
      </c>
      <c r="M234" s="30">
        <v>96.168999999999997</v>
      </c>
      <c r="N234" s="30">
        <v>47.576999999999998</v>
      </c>
      <c r="O234" s="30">
        <v>78.347999999999999</v>
      </c>
      <c r="P234" s="30">
        <v>88.278999999999996</v>
      </c>
      <c r="Q234" s="30">
        <v>80.686999999999998</v>
      </c>
      <c r="R234" s="30">
        <v>67.325000000000003</v>
      </c>
    </row>
    <row r="235" spans="1:18" x14ac:dyDescent="0.2">
      <c r="A235" s="10" t="s">
        <v>31</v>
      </c>
      <c r="B235" s="6">
        <f t="shared" si="3"/>
        <v>2007</v>
      </c>
      <c r="C235" s="11">
        <v>39173</v>
      </c>
      <c r="D235" s="30">
        <v>83.087999999999994</v>
      </c>
      <c r="E235" s="30">
        <v>75.796999999999997</v>
      </c>
      <c r="F235" s="30">
        <v>67.227000000000004</v>
      </c>
      <c r="G235" s="30">
        <v>113.306</v>
      </c>
      <c r="H235" s="30">
        <v>84.07</v>
      </c>
      <c r="I235" s="30">
        <v>83.364999999999995</v>
      </c>
      <c r="J235" s="30">
        <v>79.844999999999999</v>
      </c>
      <c r="K235" s="30">
        <v>77.945999999999998</v>
      </c>
      <c r="L235" s="30">
        <v>84.834999999999994</v>
      </c>
      <c r="M235" s="30">
        <v>96.248999999999995</v>
      </c>
      <c r="N235" s="30">
        <v>47.576999999999998</v>
      </c>
      <c r="O235" s="30">
        <v>78.840999999999994</v>
      </c>
      <c r="P235" s="30">
        <v>87.921000000000006</v>
      </c>
      <c r="Q235" s="30">
        <v>81.813000000000002</v>
      </c>
      <c r="R235" s="30">
        <v>66.277000000000001</v>
      </c>
    </row>
    <row r="236" spans="1:18" x14ac:dyDescent="0.2">
      <c r="A236" s="10" t="s">
        <v>32</v>
      </c>
      <c r="B236" s="6">
        <f t="shared" si="3"/>
        <v>2007</v>
      </c>
      <c r="C236" s="11">
        <v>39203</v>
      </c>
      <c r="D236" s="30">
        <v>83.316999999999993</v>
      </c>
      <c r="E236" s="30">
        <v>76.126999999999995</v>
      </c>
      <c r="F236" s="30">
        <v>67.111000000000004</v>
      </c>
      <c r="G236" s="30">
        <v>113.30800000000001</v>
      </c>
      <c r="H236" s="30">
        <v>84.058000000000007</v>
      </c>
      <c r="I236" s="30">
        <v>84.326999999999998</v>
      </c>
      <c r="J236" s="30">
        <v>80.153999999999996</v>
      </c>
      <c r="K236" s="30">
        <v>79.212000000000003</v>
      </c>
      <c r="L236" s="30">
        <v>84.322000000000003</v>
      </c>
      <c r="M236" s="30">
        <v>96.004999999999995</v>
      </c>
      <c r="N236" s="30">
        <v>47.576999999999998</v>
      </c>
      <c r="O236" s="30">
        <v>79.066000000000003</v>
      </c>
      <c r="P236" s="30">
        <v>87.87</v>
      </c>
      <c r="Q236" s="30">
        <v>81.944999999999993</v>
      </c>
      <c r="R236" s="30">
        <v>64.926000000000002</v>
      </c>
    </row>
    <row r="237" spans="1:18" x14ac:dyDescent="0.2">
      <c r="A237" s="10" t="s">
        <v>33</v>
      </c>
      <c r="B237" s="6">
        <f t="shared" si="3"/>
        <v>2007</v>
      </c>
      <c r="C237" s="11">
        <v>39234</v>
      </c>
      <c r="D237" s="30">
        <v>83.501000000000005</v>
      </c>
      <c r="E237" s="30">
        <v>76.55</v>
      </c>
      <c r="F237" s="30">
        <v>67.3</v>
      </c>
      <c r="G237" s="30">
        <v>113.096</v>
      </c>
      <c r="H237" s="30">
        <v>84.058999999999997</v>
      </c>
      <c r="I237" s="30">
        <v>86.251000000000005</v>
      </c>
      <c r="J237" s="30">
        <v>80.31</v>
      </c>
      <c r="K237" s="30">
        <v>79.725999999999999</v>
      </c>
      <c r="L237" s="30">
        <v>83.956999999999994</v>
      </c>
      <c r="M237" s="30">
        <v>95.537999999999997</v>
      </c>
      <c r="N237" s="30">
        <v>47.576999999999998</v>
      </c>
      <c r="O237" s="30">
        <v>79.28</v>
      </c>
      <c r="P237" s="30">
        <v>87.908000000000001</v>
      </c>
      <c r="Q237" s="30">
        <v>82.001000000000005</v>
      </c>
      <c r="R237" s="30">
        <v>63.735999999999997</v>
      </c>
    </row>
    <row r="238" spans="1:18" x14ac:dyDescent="0.2">
      <c r="A238" s="10" t="s">
        <v>34</v>
      </c>
      <c r="B238" s="6">
        <f t="shared" si="3"/>
        <v>2007</v>
      </c>
      <c r="C238" s="11">
        <v>39264</v>
      </c>
      <c r="D238" s="30">
        <v>83.12</v>
      </c>
      <c r="E238" s="30">
        <v>75.272999999999996</v>
      </c>
      <c r="F238" s="30">
        <v>67.171000000000006</v>
      </c>
      <c r="G238" s="30">
        <v>108.515</v>
      </c>
      <c r="H238" s="30">
        <v>84.138000000000005</v>
      </c>
      <c r="I238" s="30">
        <v>82.543000000000006</v>
      </c>
      <c r="J238" s="30">
        <v>80.69</v>
      </c>
      <c r="K238" s="30">
        <v>80.61</v>
      </c>
      <c r="L238" s="30">
        <v>82.774000000000001</v>
      </c>
      <c r="M238" s="30">
        <v>95.016000000000005</v>
      </c>
      <c r="N238" s="30">
        <v>47.576999999999998</v>
      </c>
      <c r="O238" s="30">
        <v>79.475999999999999</v>
      </c>
      <c r="P238" s="30">
        <v>88.123000000000005</v>
      </c>
      <c r="Q238" s="30">
        <v>82.549000000000007</v>
      </c>
      <c r="R238" s="30">
        <v>62.804000000000002</v>
      </c>
    </row>
    <row r="239" spans="1:18" x14ac:dyDescent="0.2">
      <c r="A239" s="10" t="s">
        <v>35</v>
      </c>
      <c r="B239" s="6">
        <f t="shared" si="3"/>
        <v>2007</v>
      </c>
      <c r="C239" s="11">
        <v>39295</v>
      </c>
      <c r="D239" s="30">
        <v>83.411000000000001</v>
      </c>
      <c r="E239" s="30">
        <v>75.703000000000003</v>
      </c>
      <c r="F239" s="30">
        <v>67.274000000000001</v>
      </c>
      <c r="G239" s="30">
        <v>110.072</v>
      </c>
      <c r="H239" s="30">
        <v>84.262</v>
      </c>
      <c r="I239" s="30">
        <v>82.995999999999995</v>
      </c>
      <c r="J239" s="30">
        <v>80.878</v>
      </c>
      <c r="K239" s="30">
        <v>81.05</v>
      </c>
      <c r="L239" s="30">
        <v>84.831000000000003</v>
      </c>
      <c r="M239" s="30">
        <v>95.474999999999994</v>
      </c>
      <c r="N239" s="30">
        <v>47.576999999999998</v>
      </c>
      <c r="O239" s="30">
        <v>79.590999999999994</v>
      </c>
      <c r="P239" s="30">
        <v>87.742000000000004</v>
      </c>
      <c r="Q239" s="30">
        <v>82.522000000000006</v>
      </c>
      <c r="R239" s="30">
        <v>62.223999999999997</v>
      </c>
    </row>
    <row r="240" spans="1:18" x14ac:dyDescent="0.2">
      <c r="A240" s="10" t="s">
        <v>36</v>
      </c>
      <c r="B240" s="6">
        <f t="shared" si="3"/>
        <v>2007</v>
      </c>
      <c r="C240" s="11">
        <v>39326</v>
      </c>
      <c r="D240" s="30">
        <v>83.477000000000004</v>
      </c>
      <c r="E240" s="30">
        <v>76.694000000000003</v>
      </c>
      <c r="F240" s="30">
        <v>67.331000000000003</v>
      </c>
      <c r="G240" s="30">
        <v>111.78700000000001</v>
      </c>
      <c r="H240" s="30">
        <v>84.281000000000006</v>
      </c>
      <c r="I240" s="30">
        <v>84.549000000000007</v>
      </c>
      <c r="J240" s="30">
        <v>81.072000000000003</v>
      </c>
      <c r="K240" s="30">
        <v>78.887</v>
      </c>
      <c r="L240" s="30">
        <v>84.387</v>
      </c>
      <c r="M240" s="30">
        <v>95.646000000000001</v>
      </c>
      <c r="N240" s="30">
        <v>49.646000000000001</v>
      </c>
      <c r="O240" s="30">
        <v>79.783000000000001</v>
      </c>
      <c r="P240" s="30">
        <v>87.909000000000006</v>
      </c>
      <c r="Q240" s="30">
        <v>82.549000000000007</v>
      </c>
      <c r="R240" s="30">
        <v>62.164000000000001</v>
      </c>
    </row>
    <row r="241" spans="1:18" x14ac:dyDescent="0.2">
      <c r="A241" s="10" t="s">
        <v>37</v>
      </c>
      <c r="B241" s="6">
        <f t="shared" si="3"/>
        <v>2007</v>
      </c>
      <c r="C241" s="11">
        <v>39356</v>
      </c>
      <c r="D241" s="30">
        <v>83.846000000000004</v>
      </c>
      <c r="E241" s="30">
        <v>77.875</v>
      </c>
      <c r="F241" s="30">
        <v>67.111000000000004</v>
      </c>
      <c r="G241" s="30">
        <v>111.752</v>
      </c>
      <c r="H241" s="30">
        <v>84.492999999999995</v>
      </c>
      <c r="I241" s="30">
        <v>83.475999999999999</v>
      </c>
      <c r="J241" s="30">
        <v>81.397999999999996</v>
      </c>
      <c r="K241" s="30">
        <v>79.608000000000004</v>
      </c>
      <c r="L241" s="30">
        <v>84.022999999999996</v>
      </c>
      <c r="M241" s="30">
        <v>95.707999999999998</v>
      </c>
      <c r="N241" s="30">
        <v>53.835000000000001</v>
      </c>
      <c r="O241" s="30">
        <v>80.007000000000005</v>
      </c>
      <c r="P241" s="30">
        <v>88.435000000000002</v>
      </c>
      <c r="Q241" s="30">
        <v>82.878</v>
      </c>
      <c r="R241" s="30">
        <v>62.198</v>
      </c>
    </row>
    <row r="242" spans="1:18" x14ac:dyDescent="0.2">
      <c r="A242" s="10" t="s">
        <v>38</v>
      </c>
      <c r="B242" s="6">
        <f t="shared" si="3"/>
        <v>2007</v>
      </c>
      <c r="C242" s="11">
        <v>39387</v>
      </c>
      <c r="D242" s="30">
        <v>84.057000000000002</v>
      </c>
      <c r="E242" s="30">
        <v>78.623000000000005</v>
      </c>
      <c r="F242" s="30">
        <v>66.867999999999995</v>
      </c>
      <c r="G242" s="30">
        <v>112.34</v>
      </c>
      <c r="H242" s="30">
        <v>84.671999999999997</v>
      </c>
      <c r="I242" s="30">
        <v>84.14</v>
      </c>
      <c r="J242" s="30">
        <v>81.247</v>
      </c>
      <c r="K242" s="30">
        <v>79.808999999999997</v>
      </c>
      <c r="L242" s="30">
        <v>84.058999999999997</v>
      </c>
      <c r="M242" s="30">
        <v>95.661000000000001</v>
      </c>
      <c r="N242" s="30">
        <v>53.835000000000001</v>
      </c>
      <c r="O242" s="30">
        <v>80.102000000000004</v>
      </c>
      <c r="P242" s="30">
        <v>88.616</v>
      </c>
      <c r="Q242" s="30">
        <v>82.98</v>
      </c>
      <c r="R242" s="30">
        <v>62.62</v>
      </c>
    </row>
    <row r="243" spans="1:18" x14ac:dyDescent="0.2">
      <c r="A243" s="10" t="s">
        <v>39</v>
      </c>
      <c r="B243" s="6">
        <f t="shared" si="3"/>
        <v>2007</v>
      </c>
      <c r="C243" s="11">
        <v>39417</v>
      </c>
      <c r="D243" s="30">
        <v>84.501000000000005</v>
      </c>
      <c r="E243" s="30">
        <v>79.286000000000001</v>
      </c>
      <c r="F243" s="30">
        <v>66.471999999999994</v>
      </c>
      <c r="G243" s="30">
        <v>111.456</v>
      </c>
      <c r="H243" s="30">
        <v>84.861999999999995</v>
      </c>
      <c r="I243" s="30">
        <v>86.375</v>
      </c>
      <c r="J243" s="30">
        <v>81.468999999999994</v>
      </c>
      <c r="K243" s="30">
        <v>81.22</v>
      </c>
      <c r="L243" s="30">
        <v>83.974000000000004</v>
      </c>
      <c r="M243" s="30">
        <v>96.012</v>
      </c>
      <c r="N243" s="30">
        <v>53.835000000000001</v>
      </c>
      <c r="O243" s="30">
        <v>80.3</v>
      </c>
      <c r="P243" s="30">
        <v>88.784999999999997</v>
      </c>
      <c r="Q243" s="30">
        <v>82.977000000000004</v>
      </c>
      <c r="R243" s="30">
        <v>62.698999999999998</v>
      </c>
    </row>
    <row r="244" spans="1:18" x14ac:dyDescent="0.2">
      <c r="A244" s="10" t="s">
        <v>40</v>
      </c>
      <c r="B244" s="6">
        <f t="shared" si="3"/>
        <v>2007</v>
      </c>
      <c r="C244" s="11">
        <v>39448</v>
      </c>
      <c r="D244" s="30">
        <v>84.1</v>
      </c>
      <c r="E244" s="30">
        <v>79.072000000000003</v>
      </c>
      <c r="F244" s="30">
        <v>67.197000000000003</v>
      </c>
      <c r="G244" s="30">
        <v>105.759</v>
      </c>
      <c r="H244" s="30">
        <v>85.222999999999999</v>
      </c>
      <c r="I244" s="30">
        <v>82.926000000000002</v>
      </c>
      <c r="J244" s="30">
        <v>81.86</v>
      </c>
      <c r="K244" s="30">
        <v>81.055999999999997</v>
      </c>
      <c r="L244" s="30">
        <v>83.635999999999996</v>
      </c>
      <c r="M244" s="30">
        <v>95.066999999999993</v>
      </c>
      <c r="N244" s="30">
        <v>53.835000000000001</v>
      </c>
      <c r="O244" s="30">
        <v>80.316999999999993</v>
      </c>
      <c r="P244" s="30">
        <v>88.718999999999994</v>
      </c>
      <c r="Q244" s="30">
        <v>83.363</v>
      </c>
      <c r="R244" s="30">
        <v>63.139000000000003</v>
      </c>
    </row>
    <row r="245" spans="1:18" x14ac:dyDescent="0.2">
      <c r="A245" s="10" t="s">
        <v>41</v>
      </c>
      <c r="B245" s="6">
        <f t="shared" si="3"/>
        <v>2007</v>
      </c>
      <c r="C245" s="11">
        <v>39479</v>
      </c>
      <c r="D245" s="30">
        <v>84.596999999999994</v>
      </c>
      <c r="E245" s="30">
        <v>79.448999999999998</v>
      </c>
      <c r="F245" s="30">
        <v>67.981999999999999</v>
      </c>
      <c r="G245" s="30">
        <v>105.824</v>
      </c>
      <c r="H245" s="30">
        <v>86.14</v>
      </c>
      <c r="I245" s="30">
        <v>84.055000000000007</v>
      </c>
      <c r="J245" s="30">
        <v>81.912999999999997</v>
      </c>
      <c r="K245" s="30">
        <v>81.447999999999993</v>
      </c>
      <c r="L245" s="30">
        <v>82.350999999999999</v>
      </c>
      <c r="M245" s="30">
        <v>95.26</v>
      </c>
      <c r="N245" s="30">
        <v>53.835000000000001</v>
      </c>
      <c r="O245" s="30">
        <v>80.582999999999998</v>
      </c>
      <c r="P245" s="30">
        <v>88.998000000000005</v>
      </c>
      <c r="Q245" s="30">
        <v>83.358000000000004</v>
      </c>
      <c r="R245" s="30">
        <v>69.664000000000001</v>
      </c>
    </row>
    <row r="246" spans="1:18" x14ac:dyDescent="0.2">
      <c r="A246" s="10" t="s">
        <v>42</v>
      </c>
      <c r="B246" s="6">
        <f t="shared" si="3"/>
        <v>2007</v>
      </c>
      <c r="C246" s="11">
        <v>39508</v>
      </c>
      <c r="D246" s="30">
        <v>84.921000000000006</v>
      </c>
      <c r="E246" s="30">
        <v>79.781999999999996</v>
      </c>
      <c r="F246" s="30">
        <v>68.019000000000005</v>
      </c>
      <c r="G246" s="30">
        <v>106.24299999999999</v>
      </c>
      <c r="H246" s="30">
        <v>86.292000000000002</v>
      </c>
      <c r="I246" s="30">
        <v>85.771000000000001</v>
      </c>
      <c r="J246" s="30">
        <v>82.11</v>
      </c>
      <c r="K246" s="30">
        <v>82.358999999999995</v>
      </c>
      <c r="L246" s="30">
        <v>82.236999999999995</v>
      </c>
      <c r="M246" s="30">
        <v>94.849000000000004</v>
      </c>
      <c r="N246" s="30">
        <v>53.835000000000001</v>
      </c>
      <c r="O246" s="30">
        <v>80.936000000000007</v>
      </c>
      <c r="P246" s="30">
        <v>89.363</v>
      </c>
      <c r="Q246" s="30">
        <v>83.370999999999995</v>
      </c>
      <c r="R246" s="30">
        <v>70.290999999999997</v>
      </c>
    </row>
    <row r="247" spans="1:18" x14ac:dyDescent="0.2">
      <c r="A247" s="10" t="s">
        <v>43</v>
      </c>
      <c r="B247" s="6">
        <f t="shared" si="3"/>
        <v>2008</v>
      </c>
      <c r="C247" s="11">
        <v>39539</v>
      </c>
      <c r="D247" s="30">
        <v>85.587999999999994</v>
      </c>
      <c r="E247" s="30">
        <v>80.813000000000002</v>
      </c>
      <c r="F247" s="30">
        <v>70.081000000000003</v>
      </c>
      <c r="G247" s="30">
        <v>106.133</v>
      </c>
      <c r="H247" s="30">
        <v>87.265000000000001</v>
      </c>
      <c r="I247" s="30">
        <v>84.706000000000003</v>
      </c>
      <c r="J247" s="30">
        <v>82.468999999999994</v>
      </c>
      <c r="K247" s="30">
        <v>82.741</v>
      </c>
      <c r="L247" s="30">
        <v>82.495000000000005</v>
      </c>
      <c r="M247" s="30">
        <v>95.34</v>
      </c>
      <c r="N247" s="30">
        <v>53.835000000000001</v>
      </c>
      <c r="O247" s="30">
        <v>81.876000000000005</v>
      </c>
      <c r="P247" s="30">
        <v>89.968999999999994</v>
      </c>
      <c r="Q247" s="30">
        <v>84.644000000000005</v>
      </c>
      <c r="R247" s="30">
        <v>72.125</v>
      </c>
    </row>
    <row r="248" spans="1:18" x14ac:dyDescent="0.2">
      <c r="A248" s="10" t="s">
        <v>44</v>
      </c>
      <c r="B248" s="6">
        <f t="shared" si="3"/>
        <v>2008</v>
      </c>
      <c r="C248" s="11">
        <v>39569</v>
      </c>
      <c r="D248" s="30">
        <v>86.069000000000003</v>
      </c>
      <c r="E248" s="30">
        <v>82.176000000000002</v>
      </c>
      <c r="F248" s="30">
        <v>70.429000000000002</v>
      </c>
      <c r="G248" s="30">
        <v>106.07899999999999</v>
      </c>
      <c r="H248" s="30">
        <v>87.465000000000003</v>
      </c>
      <c r="I248" s="30">
        <v>85.882000000000005</v>
      </c>
      <c r="J248" s="30">
        <v>82.587000000000003</v>
      </c>
      <c r="K248" s="30">
        <v>84.128</v>
      </c>
      <c r="L248" s="30">
        <v>82.412999999999997</v>
      </c>
      <c r="M248" s="30">
        <v>95.337999999999994</v>
      </c>
      <c r="N248" s="30">
        <v>53.835000000000001</v>
      </c>
      <c r="O248" s="30">
        <v>82.180999999999997</v>
      </c>
      <c r="P248" s="30">
        <v>90.13</v>
      </c>
      <c r="Q248" s="30">
        <v>84.738</v>
      </c>
      <c r="R248" s="30">
        <v>72.64</v>
      </c>
    </row>
    <row r="249" spans="1:18" x14ac:dyDescent="0.2">
      <c r="A249" s="10" t="s">
        <v>45</v>
      </c>
      <c r="B249" s="6">
        <f t="shared" si="3"/>
        <v>2008</v>
      </c>
      <c r="C249" s="11">
        <v>39600</v>
      </c>
      <c r="D249" s="30">
        <v>86.573999999999998</v>
      </c>
      <c r="E249" s="30">
        <v>83.935000000000002</v>
      </c>
      <c r="F249" s="30">
        <v>70.355000000000004</v>
      </c>
      <c r="G249" s="30">
        <v>104.569</v>
      </c>
      <c r="H249" s="30">
        <v>87.631</v>
      </c>
      <c r="I249" s="30">
        <v>87.813000000000002</v>
      </c>
      <c r="J249" s="30">
        <v>82.763999999999996</v>
      </c>
      <c r="K249" s="30">
        <v>85.575999999999993</v>
      </c>
      <c r="L249" s="30">
        <v>82.909000000000006</v>
      </c>
      <c r="M249" s="30">
        <v>95.632000000000005</v>
      </c>
      <c r="N249" s="30">
        <v>53.835000000000001</v>
      </c>
      <c r="O249" s="30">
        <v>82.370999999999995</v>
      </c>
      <c r="P249" s="30">
        <v>90.209000000000003</v>
      </c>
      <c r="Q249" s="30">
        <v>84.805000000000007</v>
      </c>
      <c r="R249" s="30">
        <v>72.947999999999993</v>
      </c>
    </row>
    <row r="250" spans="1:18" x14ac:dyDescent="0.2">
      <c r="A250" s="10" t="s">
        <v>46</v>
      </c>
      <c r="B250" s="6">
        <f t="shared" si="3"/>
        <v>2008</v>
      </c>
      <c r="C250" s="11">
        <v>39630</v>
      </c>
      <c r="D250" s="30">
        <v>86.608000000000004</v>
      </c>
      <c r="E250" s="30">
        <v>84.603999999999999</v>
      </c>
      <c r="F250" s="30">
        <v>70.064999999999998</v>
      </c>
      <c r="G250" s="30">
        <v>101.173</v>
      </c>
      <c r="H250" s="30">
        <v>87.846000000000004</v>
      </c>
      <c r="I250" s="30">
        <v>85.081000000000003</v>
      </c>
      <c r="J250" s="30">
        <v>83.424999999999997</v>
      </c>
      <c r="K250" s="30">
        <v>87.254000000000005</v>
      </c>
      <c r="L250" s="30">
        <v>82.304000000000002</v>
      </c>
      <c r="M250" s="30">
        <v>94.954999999999998</v>
      </c>
      <c r="N250" s="30">
        <v>53.835000000000001</v>
      </c>
      <c r="O250" s="30">
        <v>82.74</v>
      </c>
      <c r="P250" s="30">
        <v>90.507000000000005</v>
      </c>
      <c r="Q250" s="30">
        <v>84.953000000000003</v>
      </c>
      <c r="R250" s="30">
        <v>73.358000000000004</v>
      </c>
    </row>
    <row r="251" spans="1:18" x14ac:dyDescent="0.2">
      <c r="A251" s="10" t="s">
        <v>47</v>
      </c>
      <c r="B251" s="6">
        <f t="shared" si="3"/>
        <v>2008</v>
      </c>
      <c r="C251" s="11">
        <v>39661</v>
      </c>
      <c r="D251" s="30">
        <v>87.081000000000003</v>
      </c>
      <c r="E251" s="30">
        <v>85.686999999999998</v>
      </c>
      <c r="F251" s="30">
        <v>70.278000000000006</v>
      </c>
      <c r="G251" s="30">
        <v>102.601</v>
      </c>
      <c r="H251" s="30">
        <v>88.510999999999996</v>
      </c>
      <c r="I251" s="30">
        <v>85.787000000000006</v>
      </c>
      <c r="J251" s="30">
        <v>83.515000000000001</v>
      </c>
      <c r="K251" s="30">
        <v>87.33</v>
      </c>
      <c r="L251" s="30">
        <v>82.427999999999997</v>
      </c>
      <c r="M251" s="30">
        <v>95.335999999999999</v>
      </c>
      <c r="N251" s="30">
        <v>53.835000000000001</v>
      </c>
      <c r="O251" s="30">
        <v>82.811000000000007</v>
      </c>
      <c r="P251" s="30">
        <v>90.662999999999997</v>
      </c>
      <c r="Q251" s="30">
        <v>85.072999999999993</v>
      </c>
      <c r="R251" s="30">
        <v>77.316000000000003</v>
      </c>
    </row>
    <row r="252" spans="1:18" x14ac:dyDescent="0.2">
      <c r="A252" s="10" t="s">
        <v>48</v>
      </c>
      <c r="B252" s="6">
        <f t="shared" si="3"/>
        <v>2008</v>
      </c>
      <c r="C252" s="11">
        <v>39692</v>
      </c>
      <c r="D252" s="30">
        <v>87.460999999999999</v>
      </c>
      <c r="E252" s="30">
        <v>85.430999999999997</v>
      </c>
      <c r="F252" s="30">
        <v>70.238</v>
      </c>
      <c r="G252" s="30">
        <v>104.83199999999999</v>
      </c>
      <c r="H252" s="30">
        <v>89.849000000000004</v>
      </c>
      <c r="I252" s="30">
        <v>87.144000000000005</v>
      </c>
      <c r="J252" s="30">
        <v>83.49</v>
      </c>
      <c r="K252" s="30">
        <v>85.075000000000003</v>
      </c>
      <c r="L252" s="30">
        <v>82.248999999999995</v>
      </c>
      <c r="M252" s="30">
        <v>95.882000000000005</v>
      </c>
      <c r="N252" s="30">
        <v>55.02</v>
      </c>
      <c r="O252" s="30">
        <v>83.185000000000002</v>
      </c>
      <c r="P252" s="30">
        <v>90.816999999999993</v>
      </c>
      <c r="Q252" s="30">
        <v>85.108000000000004</v>
      </c>
      <c r="R252" s="30">
        <v>86.635000000000005</v>
      </c>
    </row>
    <row r="253" spans="1:18" x14ac:dyDescent="0.2">
      <c r="A253" s="10" t="s">
        <v>49</v>
      </c>
      <c r="B253" s="6">
        <f t="shared" si="3"/>
        <v>2008</v>
      </c>
      <c r="C253" s="11">
        <v>39722</v>
      </c>
      <c r="D253" s="30">
        <v>87.326999999999998</v>
      </c>
      <c r="E253" s="30">
        <v>85.77</v>
      </c>
      <c r="F253" s="30">
        <v>70.064999999999998</v>
      </c>
      <c r="G253" s="30">
        <v>104.238</v>
      </c>
      <c r="H253" s="30">
        <v>90.126999999999995</v>
      </c>
      <c r="I253" s="30">
        <v>86.253</v>
      </c>
      <c r="J253" s="30">
        <v>83.625</v>
      </c>
      <c r="K253" s="30">
        <v>83.126000000000005</v>
      </c>
      <c r="L253" s="30">
        <v>82.277000000000001</v>
      </c>
      <c r="M253" s="30">
        <v>95.477000000000004</v>
      </c>
      <c r="N253" s="30">
        <v>58.441000000000003</v>
      </c>
      <c r="O253" s="30">
        <v>83.393000000000001</v>
      </c>
      <c r="P253" s="30">
        <v>90.994</v>
      </c>
      <c r="Q253" s="30">
        <v>85.894999999999996</v>
      </c>
      <c r="R253" s="30">
        <v>86.445999999999998</v>
      </c>
    </row>
    <row r="254" spans="1:18" x14ac:dyDescent="0.2">
      <c r="A254" s="10" t="s">
        <v>50</v>
      </c>
      <c r="B254" s="6">
        <f t="shared" si="3"/>
        <v>2008</v>
      </c>
      <c r="C254" s="11">
        <v>39753</v>
      </c>
      <c r="D254" s="30">
        <v>87.284000000000006</v>
      </c>
      <c r="E254" s="30">
        <v>87.004000000000005</v>
      </c>
      <c r="F254" s="30">
        <v>69.543000000000006</v>
      </c>
      <c r="G254" s="30">
        <v>104.27200000000001</v>
      </c>
      <c r="H254" s="30">
        <v>90.245999999999995</v>
      </c>
      <c r="I254" s="30">
        <v>86.843000000000004</v>
      </c>
      <c r="J254" s="30">
        <v>84.087000000000003</v>
      </c>
      <c r="K254" s="30">
        <v>80.921000000000006</v>
      </c>
      <c r="L254" s="30">
        <v>82.864000000000004</v>
      </c>
      <c r="M254" s="30">
        <v>95.635000000000005</v>
      </c>
      <c r="N254" s="30">
        <v>58.441000000000003</v>
      </c>
      <c r="O254" s="30">
        <v>83.421000000000006</v>
      </c>
      <c r="P254" s="30">
        <v>91.447000000000003</v>
      </c>
      <c r="Q254" s="30">
        <v>85.891999999999996</v>
      </c>
      <c r="R254" s="30">
        <v>86.08</v>
      </c>
    </row>
    <row r="255" spans="1:18" x14ac:dyDescent="0.2">
      <c r="A255" s="10" t="s">
        <v>51</v>
      </c>
      <c r="B255" s="6">
        <f t="shared" si="3"/>
        <v>2008</v>
      </c>
      <c r="C255" s="11">
        <v>39783</v>
      </c>
      <c r="D255" s="30">
        <v>87.061000000000007</v>
      </c>
      <c r="E255" s="30">
        <v>87.623000000000005</v>
      </c>
      <c r="F255" s="30">
        <v>69.415000000000006</v>
      </c>
      <c r="G255" s="30">
        <v>99.884</v>
      </c>
      <c r="H255" s="30">
        <v>90.248999999999995</v>
      </c>
      <c r="I255" s="30">
        <v>87.094999999999999</v>
      </c>
      <c r="J255" s="30">
        <v>83.316999999999993</v>
      </c>
      <c r="K255" s="30">
        <v>81.525000000000006</v>
      </c>
      <c r="L255" s="30">
        <v>81.191999999999993</v>
      </c>
      <c r="M255" s="30">
        <v>94.811999999999998</v>
      </c>
      <c r="N255" s="30">
        <v>58.441000000000003</v>
      </c>
      <c r="O255" s="30">
        <v>83.215000000000003</v>
      </c>
      <c r="P255" s="30">
        <v>90.997</v>
      </c>
      <c r="Q255" s="30">
        <v>85.908000000000001</v>
      </c>
      <c r="R255" s="30">
        <v>85.632999999999996</v>
      </c>
    </row>
    <row r="256" spans="1:18" x14ac:dyDescent="0.2">
      <c r="A256" s="10" t="s">
        <v>52</v>
      </c>
      <c r="B256" s="6">
        <f t="shared" si="3"/>
        <v>2008</v>
      </c>
      <c r="C256" s="11">
        <v>39814</v>
      </c>
      <c r="D256" s="30">
        <v>86.575000000000003</v>
      </c>
      <c r="E256" s="30">
        <v>87.2</v>
      </c>
      <c r="F256" s="30">
        <v>70.730999999999995</v>
      </c>
      <c r="G256" s="30">
        <v>95.171999999999997</v>
      </c>
      <c r="H256" s="30">
        <v>90.268000000000001</v>
      </c>
      <c r="I256" s="30">
        <v>84.816000000000003</v>
      </c>
      <c r="J256" s="30">
        <v>83.727999999999994</v>
      </c>
      <c r="K256" s="30">
        <v>79.762</v>
      </c>
      <c r="L256" s="30">
        <v>82.036000000000001</v>
      </c>
      <c r="M256" s="30">
        <v>94.602000000000004</v>
      </c>
      <c r="N256" s="30">
        <v>58.441000000000003</v>
      </c>
      <c r="O256" s="30">
        <v>83.23</v>
      </c>
      <c r="P256" s="30">
        <v>91.251000000000005</v>
      </c>
      <c r="Q256" s="30">
        <v>85.834999999999994</v>
      </c>
      <c r="R256" s="30">
        <v>85.534999999999997</v>
      </c>
    </row>
    <row r="257" spans="1:18" x14ac:dyDescent="0.2">
      <c r="A257" s="10" t="s">
        <v>53</v>
      </c>
      <c r="B257" s="6">
        <f t="shared" si="3"/>
        <v>2008</v>
      </c>
      <c r="C257" s="11">
        <v>39845</v>
      </c>
      <c r="D257" s="30">
        <v>87.191999999999993</v>
      </c>
      <c r="E257" s="30">
        <v>88.63</v>
      </c>
      <c r="F257" s="30">
        <v>71.853999999999999</v>
      </c>
      <c r="G257" s="30">
        <v>95.921000000000006</v>
      </c>
      <c r="H257" s="30">
        <v>90.328000000000003</v>
      </c>
      <c r="I257" s="30">
        <v>86.908000000000001</v>
      </c>
      <c r="J257" s="30">
        <v>83.930999999999997</v>
      </c>
      <c r="K257" s="30">
        <v>80.504999999999995</v>
      </c>
      <c r="L257" s="30">
        <v>81.876999999999995</v>
      </c>
      <c r="M257" s="30">
        <v>95.659000000000006</v>
      </c>
      <c r="N257" s="30">
        <v>58.441000000000003</v>
      </c>
      <c r="O257" s="30">
        <v>83.512</v>
      </c>
      <c r="P257" s="30">
        <v>91.710999999999999</v>
      </c>
      <c r="Q257" s="30">
        <v>85.805000000000007</v>
      </c>
      <c r="R257" s="30">
        <v>85.408000000000001</v>
      </c>
    </row>
    <row r="258" spans="1:18" x14ac:dyDescent="0.2">
      <c r="A258" s="10" t="s">
        <v>54</v>
      </c>
      <c r="B258" s="6">
        <f t="shared" si="3"/>
        <v>2008</v>
      </c>
      <c r="C258" s="11">
        <v>39873</v>
      </c>
      <c r="D258" s="30">
        <v>87.305000000000007</v>
      </c>
      <c r="E258" s="30">
        <v>88.206000000000003</v>
      </c>
      <c r="F258" s="30">
        <v>72.016000000000005</v>
      </c>
      <c r="G258" s="30">
        <v>96.947000000000003</v>
      </c>
      <c r="H258" s="30">
        <v>90.013999999999996</v>
      </c>
      <c r="I258" s="30">
        <v>88.713999999999999</v>
      </c>
      <c r="J258" s="30">
        <v>84.063000000000002</v>
      </c>
      <c r="K258" s="30">
        <v>80.891000000000005</v>
      </c>
      <c r="L258" s="30">
        <v>81.694000000000003</v>
      </c>
      <c r="M258" s="30">
        <v>95.736999999999995</v>
      </c>
      <c r="N258" s="30">
        <v>58.441000000000003</v>
      </c>
      <c r="O258" s="30">
        <v>83.697000000000003</v>
      </c>
      <c r="P258" s="30">
        <v>91.992999999999995</v>
      </c>
      <c r="Q258" s="30">
        <v>85.747</v>
      </c>
      <c r="R258" s="30">
        <v>83.12</v>
      </c>
    </row>
    <row r="259" spans="1:18" x14ac:dyDescent="0.2">
      <c r="A259" s="10" t="s">
        <v>55</v>
      </c>
      <c r="B259" s="6">
        <f t="shared" si="3"/>
        <v>2009</v>
      </c>
      <c r="C259" s="11">
        <v>39904</v>
      </c>
      <c r="D259" s="30">
        <v>87.539000000000001</v>
      </c>
      <c r="E259" s="30">
        <v>87.81</v>
      </c>
      <c r="F259" s="30">
        <v>72.049000000000007</v>
      </c>
      <c r="G259" s="30">
        <v>97.141999999999996</v>
      </c>
      <c r="H259" s="30">
        <v>90.18</v>
      </c>
      <c r="I259" s="30">
        <v>87.846999999999994</v>
      </c>
      <c r="J259" s="30">
        <v>84.706999999999994</v>
      </c>
      <c r="K259" s="30">
        <v>82.177000000000007</v>
      </c>
      <c r="L259" s="30">
        <v>83.56</v>
      </c>
      <c r="M259" s="30">
        <v>95.921999999999997</v>
      </c>
      <c r="N259" s="30">
        <v>58.441000000000003</v>
      </c>
      <c r="O259" s="30">
        <v>83.927000000000007</v>
      </c>
      <c r="P259" s="30">
        <v>92.039000000000001</v>
      </c>
      <c r="Q259" s="30">
        <v>86.198999999999998</v>
      </c>
      <c r="R259" s="30">
        <v>80.921000000000006</v>
      </c>
    </row>
    <row r="260" spans="1:18" x14ac:dyDescent="0.2">
      <c r="A260" s="10" t="s">
        <v>56</v>
      </c>
      <c r="B260" s="6">
        <f t="shared" si="3"/>
        <v>2009</v>
      </c>
      <c r="C260" s="11">
        <v>39934</v>
      </c>
      <c r="D260" s="30">
        <v>87.911000000000001</v>
      </c>
      <c r="E260" s="30">
        <v>88.635999999999996</v>
      </c>
      <c r="F260" s="30">
        <v>73.186000000000007</v>
      </c>
      <c r="G260" s="30">
        <v>97.478999999999999</v>
      </c>
      <c r="H260" s="30">
        <v>90.028000000000006</v>
      </c>
      <c r="I260" s="30">
        <v>88.701999999999998</v>
      </c>
      <c r="J260" s="30">
        <v>84.736999999999995</v>
      </c>
      <c r="K260" s="30">
        <v>83.415999999999997</v>
      </c>
      <c r="L260" s="30">
        <v>83.575999999999993</v>
      </c>
      <c r="M260" s="30">
        <v>96.198999999999998</v>
      </c>
      <c r="N260" s="30">
        <v>58.441000000000003</v>
      </c>
      <c r="O260" s="30">
        <v>84.248999999999995</v>
      </c>
      <c r="P260" s="30">
        <v>92.117999999999995</v>
      </c>
      <c r="Q260" s="30">
        <v>86.042000000000002</v>
      </c>
      <c r="R260" s="30">
        <v>80.13</v>
      </c>
    </row>
    <row r="261" spans="1:18" x14ac:dyDescent="0.2">
      <c r="A261" s="10" t="s">
        <v>57</v>
      </c>
      <c r="B261" s="6">
        <f t="shared" ref="B261:B324" si="4">IF(MOD(A261,100)&gt;=4,  INT(A261/100), INT(A261/100)-1)</f>
        <v>2009</v>
      </c>
      <c r="C261" s="11">
        <v>39965</v>
      </c>
      <c r="D261" s="30">
        <v>88.069000000000003</v>
      </c>
      <c r="E261" s="30">
        <v>88.468999999999994</v>
      </c>
      <c r="F261" s="30">
        <v>72.694999999999993</v>
      </c>
      <c r="G261" s="30">
        <v>96.033000000000001</v>
      </c>
      <c r="H261" s="30">
        <v>89.965000000000003</v>
      </c>
      <c r="I261" s="30">
        <v>89.572999999999993</v>
      </c>
      <c r="J261" s="30">
        <v>84.911000000000001</v>
      </c>
      <c r="K261" s="30">
        <v>84.611999999999995</v>
      </c>
      <c r="L261" s="30">
        <v>83.572999999999993</v>
      </c>
      <c r="M261" s="30">
        <v>96.816999999999993</v>
      </c>
      <c r="N261" s="30">
        <v>58.441000000000003</v>
      </c>
      <c r="O261" s="30">
        <v>84.349000000000004</v>
      </c>
      <c r="P261" s="30">
        <v>91.995999999999995</v>
      </c>
      <c r="Q261" s="30">
        <v>85.974000000000004</v>
      </c>
      <c r="R261" s="30">
        <v>80.331000000000003</v>
      </c>
    </row>
    <row r="262" spans="1:18" x14ac:dyDescent="0.2">
      <c r="A262" s="10" t="s">
        <v>58</v>
      </c>
      <c r="B262" s="6">
        <f t="shared" si="4"/>
        <v>2009</v>
      </c>
      <c r="C262" s="11">
        <v>39995</v>
      </c>
      <c r="D262" s="30">
        <v>88.03</v>
      </c>
      <c r="E262" s="30">
        <v>88.078999999999994</v>
      </c>
      <c r="F262" s="30">
        <v>72.881</v>
      </c>
      <c r="G262" s="30">
        <v>92.971999999999994</v>
      </c>
      <c r="H262" s="30">
        <v>89.974000000000004</v>
      </c>
      <c r="I262" s="30">
        <v>87.241</v>
      </c>
      <c r="J262" s="30">
        <v>85.531000000000006</v>
      </c>
      <c r="K262" s="30">
        <v>86.003</v>
      </c>
      <c r="L262" s="30">
        <v>83.593999999999994</v>
      </c>
      <c r="M262" s="30">
        <v>96.954999999999998</v>
      </c>
      <c r="N262" s="30">
        <v>58.441000000000003</v>
      </c>
      <c r="O262" s="30">
        <v>84.421999999999997</v>
      </c>
      <c r="P262" s="30">
        <v>92.331000000000003</v>
      </c>
      <c r="Q262" s="30">
        <v>86.716999999999999</v>
      </c>
      <c r="R262" s="30">
        <v>79.893000000000001</v>
      </c>
    </row>
    <row r="263" spans="1:18" x14ac:dyDescent="0.2">
      <c r="A263" s="10" t="s">
        <v>59</v>
      </c>
      <c r="B263" s="6">
        <f t="shared" si="4"/>
        <v>2009</v>
      </c>
      <c r="C263" s="11">
        <v>40026</v>
      </c>
      <c r="D263" s="30">
        <v>88.313999999999993</v>
      </c>
      <c r="E263" s="30">
        <v>87.545000000000002</v>
      </c>
      <c r="F263" s="30">
        <v>73.177999999999997</v>
      </c>
      <c r="G263" s="30">
        <v>94.161000000000001</v>
      </c>
      <c r="H263" s="30">
        <v>89.942999999999998</v>
      </c>
      <c r="I263" s="30">
        <v>88.522999999999996</v>
      </c>
      <c r="J263" s="30">
        <v>85.879000000000005</v>
      </c>
      <c r="K263" s="30">
        <v>87.335999999999999</v>
      </c>
      <c r="L263" s="30">
        <v>83.54</v>
      </c>
      <c r="M263" s="30">
        <v>97.141000000000005</v>
      </c>
      <c r="N263" s="30">
        <v>58.441000000000003</v>
      </c>
      <c r="O263" s="30">
        <v>84.507000000000005</v>
      </c>
      <c r="P263" s="30">
        <v>92.424999999999997</v>
      </c>
      <c r="Q263" s="30">
        <v>86.662999999999997</v>
      </c>
      <c r="R263" s="30">
        <v>80.125</v>
      </c>
    </row>
    <row r="264" spans="1:18" x14ac:dyDescent="0.2">
      <c r="A264" s="10" t="s">
        <v>60</v>
      </c>
      <c r="B264" s="6">
        <f t="shared" si="4"/>
        <v>2009</v>
      </c>
      <c r="C264" s="11">
        <v>40057</v>
      </c>
      <c r="D264" s="30">
        <v>88.335999999999999</v>
      </c>
      <c r="E264" s="30">
        <v>86.747</v>
      </c>
      <c r="F264" s="30">
        <v>73.183999999999997</v>
      </c>
      <c r="G264" s="30">
        <v>97.539000000000001</v>
      </c>
      <c r="H264" s="30">
        <v>89.856999999999999</v>
      </c>
      <c r="I264" s="30">
        <v>89.876999999999995</v>
      </c>
      <c r="J264" s="30">
        <v>86.072999999999993</v>
      </c>
      <c r="K264" s="30">
        <v>86.137</v>
      </c>
      <c r="L264" s="30">
        <v>83.26</v>
      </c>
      <c r="M264" s="30">
        <v>97.361999999999995</v>
      </c>
      <c r="N264" s="30">
        <v>59.515999999999998</v>
      </c>
      <c r="O264" s="30">
        <v>84.509</v>
      </c>
      <c r="P264" s="30">
        <v>92.637</v>
      </c>
      <c r="Q264" s="30">
        <v>86.644999999999996</v>
      </c>
      <c r="R264" s="30">
        <v>80.078999999999994</v>
      </c>
    </row>
    <row r="265" spans="1:18" x14ac:dyDescent="0.2">
      <c r="A265" s="10" t="s">
        <v>61</v>
      </c>
      <c r="B265" s="6">
        <f t="shared" si="4"/>
        <v>2009</v>
      </c>
      <c r="C265" s="11">
        <v>40087</v>
      </c>
      <c r="D265" s="30">
        <v>88.408000000000001</v>
      </c>
      <c r="E265" s="30">
        <v>87.656999999999996</v>
      </c>
      <c r="F265" s="30">
        <v>73.069000000000003</v>
      </c>
      <c r="G265" s="30">
        <v>97.11</v>
      </c>
      <c r="H265" s="30">
        <v>89.721999999999994</v>
      </c>
      <c r="I265" s="30">
        <v>89.206000000000003</v>
      </c>
      <c r="J265" s="30">
        <v>86.417000000000002</v>
      </c>
      <c r="K265" s="30">
        <v>86.179000000000002</v>
      </c>
      <c r="L265" s="30">
        <v>84.512</v>
      </c>
      <c r="M265" s="30">
        <v>97.474999999999994</v>
      </c>
      <c r="N265" s="30">
        <v>61.478999999999999</v>
      </c>
      <c r="O265" s="30">
        <v>84.712000000000003</v>
      </c>
      <c r="P265" s="30">
        <v>92.186000000000007</v>
      </c>
      <c r="Q265" s="30">
        <v>86.783000000000001</v>
      </c>
      <c r="R265" s="30">
        <v>80.08</v>
      </c>
    </row>
    <row r="266" spans="1:18" x14ac:dyDescent="0.2">
      <c r="A266" s="10" t="s">
        <v>62</v>
      </c>
      <c r="B266" s="6">
        <f t="shared" si="4"/>
        <v>2009</v>
      </c>
      <c r="C266" s="11">
        <v>40118</v>
      </c>
      <c r="D266" s="30">
        <v>88.59</v>
      </c>
      <c r="E266" s="30">
        <v>88.167000000000002</v>
      </c>
      <c r="F266" s="30">
        <v>72.623999999999995</v>
      </c>
      <c r="G266" s="30">
        <v>97.683000000000007</v>
      </c>
      <c r="H266" s="30">
        <v>89.682000000000002</v>
      </c>
      <c r="I266" s="30">
        <v>89.974999999999994</v>
      </c>
      <c r="J266" s="30">
        <v>86.274000000000001</v>
      </c>
      <c r="K266" s="30">
        <v>86.715999999999994</v>
      </c>
      <c r="L266" s="30">
        <v>84.262</v>
      </c>
      <c r="M266" s="30">
        <v>97.664000000000001</v>
      </c>
      <c r="N266" s="30">
        <v>61.478999999999999</v>
      </c>
      <c r="O266" s="30">
        <v>84.765000000000001</v>
      </c>
      <c r="P266" s="30">
        <v>92.331999999999994</v>
      </c>
      <c r="Q266" s="30">
        <v>86.765000000000001</v>
      </c>
      <c r="R266" s="30">
        <v>80.167000000000002</v>
      </c>
    </row>
    <row r="267" spans="1:18" x14ac:dyDescent="0.2">
      <c r="A267" s="10" t="s">
        <v>63</v>
      </c>
      <c r="B267" s="6">
        <f t="shared" si="4"/>
        <v>2009</v>
      </c>
      <c r="C267" s="11">
        <v>40148</v>
      </c>
      <c r="D267" s="30">
        <v>88.932000000000002</v>
      </c>
      <c r="E267" s="30">
        <v>89.015000000000001</v>
      </c>
      <c r="F267" s="30">
        <v>72.513999999999996</v>
      </c>
      <c r="G267" s="30">
        <v>96.373000000000005</v>
      </c>
      <c r="H267" s="30">
        <v>89.52</v>
      </c>
      <c r="I267" s="30">
        <v>91.873000000000005</v>
      </c>
      <c r="J267" s="30">
        <v>85.915999999999997</v>
      </c>
      <c r="K267" s="30">
        <v>88.59</v>
      </c>
      <c r="L267" s="30">
        <v>84.311000000000007</v>
      </c>
      <c r="M267" s="30">
        <v>97.683000000000007</v>
      </c>
      <c r="N267" s="30">
        <v>61.478999999999999</v>
      </c>
      <c r="O267" s="30">
        <v>84.73</v>
      </c>
      <c r="P267" s="30">
        <v>92.724999999999994</v>
      </c>
      <c r="Q267" s="30">
        <v>86.706000000000003</v>
      </c>
      <c r="R267" s="30">
        <v>80.222999999999999</v>
      </c>
    </row>
    <row r="268" spans="1:18" x14ac:dyDescent="0.2">
      <c r="A268" s="10" t="s">
        <v>64</v>
      </c>
      <c r="B268" s="6">
        <f t="shared" si="4"/>
        <v>2009</v>
      </c>
      <c r="C268" s="11">
        <v>40179</v>
      </c>
      <c r="D268" s="30">
        <v>88.784999999999997</v>
      </c>
      <c r="E268" s="30">
        <v>88.825999999999993</v>
      </c>
      <c r="F268" s="30">
        <v>75.168999999999997</v>
      </c>
      <c r="G268" s="30">
        <v>90.914000000000001</v>
      </c>
      <c r="H268" s="30">
        <v>89.537000000000006</v>
      </c>
      <c r="I268" s="30">
        <v>89.13</v>
      </c>
      <c r="J268" s="30">
        <v>86.887</v>
      </c>
      <c r="K268" s="30">
        <v>88.459000000000003</v>
      </c>
      <c r="L268" s="30">
        <v>85.432000000000002</v>
      </c>
      <c r="M268" s="30">
        <v>97.978999999999999</v>
      </c>
      <c r="N268" s="30">
        <v>61.478999999999999</v>
      </c>
      <c r="O268" s="30">
        <v>85.028999999999996</v>
      </c>
      <c r="P268" s="30">
        <v>93.150999999999996</v>
      </c>
      <c r="Q268" s="30">
        <v>86.742999999999995</v>
      </c>
      <c r="R268" s="30">
        <v>80.700999999999993</v>
      </c>
    </row>
    <row r="269" spans="1:18" x14ac:dyDescent="0.2">
      <c r="A269" s="10" t="s">
        <v>65</v>
      </c>
      <c r="B269" s="6">
        <f t="shared" si="4"/>
        <v>2009</v>
      </c>
      <c r="C269" s="11">
        <v>40210</v>
      </c>
      <c r="D269" s="30">
        <v>89.04</v>
      </c>
      <c r="E269" s="30">
        <v>89.820999999999998</v>
      </c>
      <c r="F269" s="30">
        <v>74.947000000000003</v>
      </c>
      <c r="G269" s="30">
        <v>92.759</v>
      </c>
      <c r="H269" s="30">
        <v>89.293999999999997</v>
      </c>
      <c r="I269" s="30">
        <v>90.066999999999993</v>
      </c>
      <c r="J269" s="30">
        <v>86.817999999999998</v>
      </c>
      <c r="K269" s="30">
        <v>88.981999999999999</v>
      </c>
      <c r="L269" s="30">
        <v>85.659000000000006</v>
      </c>
      <c r="M269" s="30">
        <v>97.954999999999998</v>
      </c>
      <c r="N269" s="30">
        <v>61.478999999999999</v>
      </c>
      <c r="O269" s="30">
        <v>85.480999999999995</v>
      </c>
      <c r="P269" s="30">
        <v>93.192999999999998</v>
      </c>
      <c r="Q269" s="30">
        <v>86.784999999999997</v>
      </c>
      <c r="R269" s="30">
        <v>79.207999999999998</v>
      </c>
    </row>
    <row r="270" spans="1:18" x14ac:dyDescent="0.2">
      <c r="A270" s="10" t="s">
        <v>66</v>
      </c>
      <c r="B270" s="6">
        <f t="shared" si="4"/>
        <v>2009</v>
      </c>
      <c r="C270" s="11">
        <v>40238</v>
      </c>
      <c r="D270" s="30">
        <v>89.438999999999993</v>
      </c>
      <c r="E270" s="30">
        <v>90.100999999999999</v>
      </c>
      <c r="F270" s="30">
        <v>75.501000000000005</v>
      </c>
      <c r="G270" s="30">
        <v>94.418999999999997</v>
      </c>
      <c r="H270" s="30">
        <v>89.281000000000006</v>
      </c>
      <c r="I270" s="30">
        <v>91.466999999999999</v>
      </c>
      <c r="J270" s="30">
        <v>86.870999999999995</v>
      </c>
      <c r="K270" s="30">
        <v>90.007000000000005</v>
      </c>
      <c r="L270" s="30">
        <v>85.748000000000005</v>
      </c>
      <c r="M270" s="30">
        <v>98.201999999999998</v>
      </c>
      <c r="N270" s="30">
        <v>61.478999999999999</v>
      </c>
      <c r="O270" s="30">
        <v>85.831000000000003</v>
      </c>
      <c r="P270" s="30">
        <v>93.36</v>
      </c>
      <c r="Q270" s="30">
        <v>86.775000000000006</v>
      </c>
      <c r="R270" s="30">
        <v>79.341999999999999</v>
      </c>
    </row>
    <row r="271" spans="1:18" x14ac:dyDescent="0.2">
      <c r="A271" s="10" t="s">
        <v>67</v>
      </c>
      <c r="B271" s="6">
        <f t="shared" si="4"/>
        <v>2010</v>
      </c>
      <c r="C271" s="11">
        <v>40269</v>
      </c>
      <c r="D271" s="30">
        <v>89.885999999999996</v>
      </c>
      <c r="E271" s="30">
        <v>90.361999999999995</v>
      </c>
      <c r="F271" s="30">
        <v>77.143000000000001</v>
      </c>
      <c r="G271" s="30">
        <v>96.537999999999997</v>
      </c>
      <c r="H271" s="30">
        <v>89.364999999999995</v>
      </c>
      <c r="I271" s="30">
        <v>90.051000000000002</v>
      </c>
      <c r="J271" s="30">
        <v>86.927000000000007</v>
      </c>
      <c r="K271" s="30">
        <v>91.206000000000003</v>
      </c>
      <c r="L271" s="30">
        <v>88.215000000000003</v>
      </c>
      <c r="M271" s="30">
        <v>98.206999999999994</v>
      </c>
      <c r="N271" s="30">
        <v>61.478999999999999</v>
      </c>
      <c r="O271" s="30">
        <v>86.331999999999994</v>
      </c>
      <c r="P271" s="30">
        <v>94.063999999999993</v>
      </c>
      <c r="Q271" s="30">
        <v>87.39</v>
      </c>
      <c r="R271" s="30">
        <v>78.111999999999995</v>
      </c>
    </row>
    <row r="272" spans="1:18" x14ac:dyDescent="0.2">
      <c r="A272" s="10" t="s">
        <v>68</v>
      </c>
      <c r="B272" s="6">
        <f t="shared" si="4"/>
        <v>2010</v>
      </c>
      <c r="C272" s="11">
        <v>40299</v>
      </c>
      <c r="D272" s="30">
        <v>90.066000000000003</v>
      </c>
      <c r="E272" s="30">
        <v>90.236000000000004</v>
      </c>
      <c r="F272" s="30">
        <v>76.977000000000004</v>
      </c>
      <c r="G272" s="30">
        <v>96.841999999999999</v>
      </c>
      <c r="H272" s="30">
        <v>89.453999999999994</v>
      </c>
      <c r="I272" s="30">
        <v>91.075999999999993</v>
      </c>
      <c r="J272" s="30">
        <v>86.903999999999996</v>
      </c>
      <c r="K272" s="30">
        <v>91.846999999999994</v>
      </c>
      <c r="L272" s="30">
        <v>87.997</v>
      </c>
      <c r="M272" s="30">
        <v>98.082999999999998</v>
      </c>
      <c r="N272" s="30">
        <v>61.478999999999999</v>
      </c>
      <c r="O272" s="30">
        <v>86.581999999999994</v>
      </c>
      <c r="P272" s="30">
        <v>94.233000000000004</v>
      </c>
      <c r="Q272" s="30">
        <v>87.486999999999995</v>
      </c>
      <c r="R272" s="30">
        <v>78.061000000000007</v>
      </c>
    </row>
    <row r="273" spans="1:18" x14ac:dyDescent="0.2">
      <c r="A273" s="10" t="s">
        <v>69</v>
      </c>
      <c r="B273" s="6">
        <f t="shared" si="4"/>
        <v>2010</v>
      </c>
      <c r="C273" s="11">
        <v>40330</v>
      </c>
      <c r="D273" s="30">
        <v>90.17</v>
      </c>
      <c r="E273" s="30">
        <v>90.167000000000002</v>
      </c>
      <c r="F273" s="30">
        <v>76.677999999999997</v>
      </c>
      <c r="G273" s="30">
        <v>94.781000000000006</v>
      </c>
      <c r="H273" s="30">
        <v>89.475999999999999</v>
      </c>
      <c r="I273" s="30">
        <v>91.703000000000003</v>
      </c>
      <c r="J273" s="30">
        <v>87.171000000000006</v>
      </c>
      <c r="K273" s="30">
        <v>92.16</v>
      </c>
      <c r="L273" s="30">
        <v>88.924999999999997</v>
      </c>
      <c r="M273" s="30">
        <v>98.527000000000001</v>
      </c>
      <c r="N273" s="30">
        <v>61.478999999999999</v>
      </c>
      <c r="O273" s="30">
        <v>86.759</v>
      </c>
      <c r="P273" s="30">
        <v>94.775999999999996</v>
      </c>
      <c r="Q273" s="30">
        <v>87.584000000000003</v>
      </c>
      <c r="R273" s="30">
        <v>77.965999999999994</v>
      </c>
    </row>
    <row r="274" spans="1:18" x14ac:dyDescent="0.2">
      <c r="A274" s="10" t="s">
        <v>70</v>
      </c>
      <c r="B274" s="6">
        <f t="shared" si="4"/>
        <v>2010</v>
      </c>
      <c r="C274" s="11">
        <v>40360</v>
      </c>
      <c r="D274" s="30">
        <v>90.025999999999996</v>
      </c>
      <c r="E274" s="30">
        <v>91.06</v>
      </c>
      <c r="F274" s="30">
        <v>76.671000000000006</v>
      </c>
      <c r="G274" s="30">
        <v>90.108999999999995</v>
      </c>
      <c r="H274" s="30">
        <v>89.558999999999997</v>
      </c>
      <c r="I274" s="30">
        <v>90.040999999999997</v>
      </c>
      <c r="J274" s="30">
        <v>87.816999999999993</v>
      </c>
      <c r="K274" s="30">
        <v>92.784000000000006</v>
      </c>
      <c r="L274" s="30">
        <v>88.956999999999994</v>
      </c>
      <c r="M274" s="30">
        <v>98.253</v>
      </c>
      <c r="N274" s="30">
        <v>61.478999999999999</v>
      </c>
      <c r="O274" s="30">
        <v>86.921999999999997</v>
      </c>
      <c r="P274" s="30">
        <v>94.32</v>
      </c>
      <c r="Q274" s="30">
        <v>87.578000000000003</v>
      </c>
      <c r="R274" s="30">
        <v>77.92</v>
      </c>
    </row>
    <row r="275" spans="1:18" x14ac:dyDescent="0.2">
      <c r="A275" s="10" t="s">
        <v>71</v>
      </c>
      <c r="B275" s="6">
        <f t="shared" si="4"/>
        <v>2010</v>
      </c>
      <c r="C275" s="11">
        <v>40391</v>
      </c>
      <c r="D275" s="30">
        <v>90.412000000000006</v>
      </c>
      <c r="E275" s="30">
        <v>91.188999999999993</v>
      </c>
      <c r="F275" s="30">
        <v>76.587000000000003</v>
      </c>
      <c r="G275" s="30">
        <v>92.584000000000003</v>
      </c>
      <c r="H275" s="30">
        <v>89.647000000000006</v>
      </c>
      <c r="I275" s="30">
        <v>90.959000000000003</v>
      </c>
      <c r="J275" s="30">
        <v>88.268000000000001</v>
      </c>
      <c r="K275" s="30">
        <v>93.945999999999998</v>
      </c>
      <c r="L275" s="30">
        <v>88.251999999999995</v>
      </c>
      <c r="M275" s="30">
        <v>98.403999999999996</v>
      </c>
      <c r="N275" s="30">
        <v>61.478999999999999</v>
      </c>
      <c r="O275" s="30">
        <v>86.998999999999995</v>
      </c>
      <c r="P275" s="30">
        <v>94.680999999999997</v>
      </c>
      <c r="Q275" s="30">
        <v>87.667000000000002</v>
      </c>
      <c r="R275" s="30">
        <v>77.929000000000002</v>
      </c>
    </row>
    <row r="276" spans="1:18" x14ac:dyDescent="0.2">
      <c r="A276" s="10" t="s">
        <v>72</v>
      </c>
      <c r="B276" s="6">
        <f t="shared" si="4"/>
        <v>2010</v>
      </c>
      <c r="C276" s="11">
        <v>40422</v>
      </c>
      <c r="D276" s="30">
        <v>90.433000000000007</v>
      </c>
      <c r="E276" s="30">
        <v>91.227999999999994</v>
      </c>
      <c r="F276" s="30">
        <v>77.034000000000006</v>
      </c>
      <c r="G276" s="30">
        <v>98.46</v>
      </c>
      <c r="H276" s="30">
        <v>89.739000000000004</v>
      </c>
      <c r="I276" s="30">
        <v>92.453000000000003</v>
      </c>
      <c r="J276" s="30">
        <v>88.388999999999996</v>
      </c>
      <c r="K276" s="30">
        <v>90.762</v>
      </c>
      <c r="L276" s="30">
        <v>86.948999999999998</v>
      </c>
      <c r="M276" s="30">
        <v>98.296999999999997</v>
      </c>
      <c r="N276" s="30">
        <v>63.320999999999998</v>
      </c>
      <c r="O276" s="30">
        <v>87.227000000000004</v>
      </c>
      <c r="P276" s="30">
        <v>94.971000000000004</v>
      </c>
      <c r="Q276" s="30">
        <v>87.888000000000005</v>
      </c>
      <c r="R276" s="30">
        <v>77.935000000000002</v>
      </c>
    </row>
    <row r="277" spans="1:18" x14ac:dyDescent="0.2">
      <c r="A277" s="10" t="s">
        <v>73</v>
      </c>
      <c r="B277" s="6">
        <f t="shared" si="4"/>
        <v>2010</v>
      </c>
      <c r="C277" s="11">
        <v>40452</v>
      </c>
      <c r="D277" s="30">
        <v>90.635000000000005</v>
      </c>
      <c r="E277" s="30">
        <v>91.616</v>
      </c>
      <c r="F277" s="30">
        <v>77.650999999999996</v>
      </c>
      <c r="G277" s="30">
        <v>97.820999999999998</v>
      </c>
      <c r="H277" s="30">
        <v>89.822999999999993</v>
      </c>
      <c r="I277" s="30">
        <v>91.581000000000003</v>
      </c>
      <c r="J277" s="30">
        <v>88.986000000000004</v>
      </c>
      <c r="K277" s="30">
        <v>91.195999999999998</v>
      </c>
      <c r="L277" s="30">
        <v>87.808000000000007</v>
      </c>
      <c r="M277" s="30">
        <v>98.888000000000005</v>
      </c>
      <c r="N277" s="30">
        <v>64.727000000000004</v>
      </c>
      <c r="O277" s="30">
        <v>87.349000000000004</v>
      </c>
      <c r="P277" s="30">
        <v>94.977999999999994</v>
      </c>
      <c r="Q277" s="30">
        <v>88.009</v>
      </c>
      <c r="R277" s="30">
        <v>77.980999999999995</v>
      </c>
    </row>
    <row r="278" spans="1:18" x14ac:dyDescent="0.2">
      <c r="A278" s="10" t="s">
        <v>74</v>
      </c>
      <c r="B278" s="6">
        <f t="shared" si="4"/>
        <v>2010</v>
      </c>
      <c r="C278" s="11">
        <v>40483</v>
      </c>
      <c r="D278" s="30">
        <v>90.93</v>
      </c>
      <c r="E278" s="30">
        <v>93.051000000000002</v>
      </c>
      <c r="F278" s="30">
        <v>77.414000000000001</v>
      </c>
      <c r="G278" s="30">
        <v>99.754999999999995</v>
      </c>
      <c r="H278" s="30">
        <v>89.972999999999999</v>
      </c>
      <c r="I278" s="30">
        <v>93.037999999999997</v>
      </c>
      <c r="J278" s="30">
        <v>88.802999999999997</v>
      </c>
      <c r="K278" s="30">
        <v>91.143000000000001</v>
      </c>
      <c r="L278" s="30">
        <v>87.543999999999997</v>
      </c>
      <c r="M278" s="30">
        <v>98.664000000000001</v>
      </c>
      <c r="N278" s="30">
        <v>64.727000000000004</v>
      </c>
      <c r="O278" s="30">
        <v>87.504999999999995</v>
      </c>
      <c r="P278" s="30">
        <v>94.947000000000003</v>
      </c>
      <c r="Q278" s="30">
        <v>88.088999999999999</v>
      </c>
      <c r="R278" s="30">
        <v>78.063000000000002</v>
      </c>
    </row>
    <row r="279" spans="1:18" x14ac:dyDescent="0.2">
      <c r="A279" s="10" t="s">
        <v>75</v>
      </c>
      <c r="B279" s="6">
        <f t="shared" si="4"/>
        <v>2010</v>
      </c>
      <c r="C279" s="11">
        <v>40513</v>
      </c>
      <c r="D279" s="30">
        <v>91.661000000000001</v>
      </c>
      <c r="E279" s="30">
        <v>94.495999999999995</v>
      </c>
      <c r="F279" s="30">
        <v>76.733999999999995</v>
      </c>
      <c r="G279" s="30">
        <v>97.906000000000006</v>
      </c>
      <c r="H279" s="30">
        <v>90.414000000000001</v>
      </c>
      <c r="I279" s="30">
        <v>94.233999999999995</v>
      </c>
      <c r="J279" s="30">
        <v>88.656999999999996</v>
      </c>
      <c r="K279" s="30">
        <v>94.438000000000002</v>
      </c>
      <c r="L279" s="30">
        <v>87.296000000000006</v>
      </c>
      <c r="M279" s="30">
        <v>99.117999999999995</v>
      </c>
      <c r="N279" s="30">
        <v>64.727000000000004</v>
      </c>
      <c r="O279" s="30">
        <v>87.713999999999999</v>
      </c>
      <c r="P279" s="30">
        <v>95.331999999999994</v>
      </c>
      <c r="Q279" s="30">
        <v>88.105999999999995</v>
      </c>
      <c r="R279" s="30">
        <v>80.947999999999993</v>
      </c>
    </row>
    <row r="280" spans="1:18" x14ac:dyDescent="0.2">
      <c r="A280" s="10" t="s">
        <v>76</v>
      </c>
      <c r="B280" s="6">
        <f t="shared" si="4"/>
        <v>2010</v>
      </c>
      <c r="C280" s="11">
        <v>40544</v>
      </c>
      <c r="D280" s="30">
        <v>91.772999999999996</v>
      </c>
      <c r="E280" s="30">
        <v>94.450999999999993</v>
      </c>
      <c r="F280" s="30">
        <v>80.224000000000004</v>
      </c>
      <c r="G280" s="30">
        <v>92.149000000000001</v>
      </c>
      <c r="H280" s="30">
        <v>90.71</v>
      </c>
      <c r="I280" s="30">
        <v>92.524000000000001</v>
      </c>
      <c r="J280" s="30">
        <v>89.299000000000007</v>
      </c>
      <c r="K280" s="30">
        <v>95.366</v>
      </c>
      <c r="L280" s="30">
        <v>88.481999999999999</v>
      </c>
      <c r="M280" s="30">
        <v>98.959000000000003</v>
      </c>
      <c r="N280" s="30">
        <v>64.727000000000004</v>
      </c>
      <c r="O280" s="30">
        <v>88.858000000000004</v>
      </c>
      <c r="P280" s="30">
        <v>95.119</v>
      </c>
      <c r="Q280" s="30">
        <v>88.328000000000003</v>
      </c>
      <c r="R280" s="30">
        <v>81.495999999999995</v>
      </c>
    </row>
    <row r="281" spans="1:18" x14ac:dyDescent="0.2">
      <c r="A281" s="10" t="s">
        <v>77</v>
      </c>
      <c r="B281" s="6">
        <f t="shared" si="4"/>
        <v>2010</v>
      </c>
      <c r="C281" s="11">
        <v>40575</v>
      </c>
      <c r="D281" s="30">
        <v>92.320999999999998</v>
      </c>
      <c r="E281" s="30">
        <v>95.429000000000002</v>
      </c>
      <c r="F281" s="30">
        <v>79.364000000000004</v>
      </c>
      <c r="G281" s="30">
        <v>95.438999999999993</v>
      </c>
      <c r="H281" s="30">
        <v>90.832999999999998</v>
      </c>
      <c r="I281" s="30">
        <v>93.775999999999996</v>
      </c>
      <c r="J281" s="30">
        <v>89.131</v>
      </c>
      <c r="K281" s="30">
        <v>96.168000000000006</v>
      </c>
      <c r="L281" s="30">
        <v>89.671000000000006</v>
      </c>
      <c r="M281" s="30">
        <v>99.188999999999993</v>
      </c>
      <c r="N281" s="30">
        <v>64.727000000000004</v>
      </c>
      <c r="O281" s="30">
        <v>89.305999999999997</v>
      </c>
      <c r="P281" s="30">
        <v>95.673000000000002</v>
      </c>
      <c r="Q281" s="30">
        <v>88.358000000000004</v>
      </c>
      <c r="R281" s="30">
        <v>81.972999999999999</v>
      </c>
    </row>
    <row r="282" spans="1:18" x14ac:dyDescent="0.2">
      <c r="A282" s="10" t="s">
        <v>78</v>
      </c>
      <c r="B282" s="6">
        <f t="shared" si="4"/>
        <v>2010</v>
      </c>
      <c r="C282" s="11">
        <v>40603</v>
      </c>
      <c r="D282" s="30">
        <v>92.563999999999993</v>
      </c>
      <c r="E282" s="30">
        <v>94.194000000000003</v>
      </c>
      <c r="F282" s="30">
        <v>79.784999999999997</v>
      </c>
      <c r="G282" s="30">
        <v>96.506</v>
      </c>
      <c r="H282" s="30">
        <v>91.078999999999994</v>
      </c>
      <c r="I282" s="30">
        <v>95.411000000000001</v>
      </c>
      <c r="J282" s="30">
        <v>89.67</v>
      </c>
      <c r="K282" s="30">
        <v>97.284999999999997</v>
      </c>
      <c r="L282" s="30">
        <v>89.53</v>
      </c>
      <c r="M282" s="30">
        <v>98.778999999999996</v>
      </c>
      <c r="N282" s="30">
        <v>64.727000000000004</v>
      </c>
      <c r="O282" s="30">
        <v>89.501000000000005</v>
      </c>
      <c r="P282" s="30">
        <v>95.84</v>
      </c>
      <c r="Q282" s="30">
        <v>88.475999999999999</v>
      </c>
      <c r="R282" s="30">
        <v>82.778999999999996</v>
      </c>
    </row>
    <row r="283" spans="1:18" x14ac:dyDescent="0.2">
      <c r="A283" s="10" t="s">
        <v>79</v>
      </c>
      <c r="B283" s="6">
        <f t="shared" si="4"/>
        <v>2011</v>
      </c>
      <c r="C283" s="11">
        <v>40634</v>
      </c>
      <c r="D283" s="30">
        <v>93.322999999999993</v>
      </c>
      <c r="E283" s="30">
        <v>94.343999999999994</v>
      </c>
      <c r="F283" s="30">
        <v>83.947999999999993</v>
      </c>
      <c r="G283" s="30">
        <v>97.736999999999995</v>
      </c>
      <c r="H283" s="30">
        <v>91.433999999999997</v>
      </c>
      <c r="I283" s="30">
        <v>94.683999999999997</v>
      </c>
      <c r="J283" s="30">
        <v>90.426000000000002</v>
      </c>
      <c r="K283" s="30">
        <v>99.953999999999994</v>
      </c>
      <c r="L283" s="30">
        <v>90.262</v>
      </c>
      <c r="M283" s="30">
        <v>99.025999999999996</v>
      </c>
      <c r="N283" s="30">
        <v>64.727000000000004</v>
      </c>
      <c r="O283" s="30">
        <v>90.02</v>
      </c>
      <c r="P283" s="30">
        <v>95.977999999999994</v>
      </c>
      <c r="Q283" s="30">
        <v>89.415999999999997</v>
      </c>
      <c r="R283" s="30">
        <v>82.975999999999999</v>
      </c>
    </row>
    <row r="284" spans="1:18" x14ac:dyDescent="0.2">
      <c r="A284" s="10" t="s">
        <v>80</v>
      </c>
      <c r="B284" s="6">
        <f t="shared" si="4"/>
        <v>2011</v>
      </c>
      <c r="C284" s="11">
        <v>40664</v>
      </c>
      <c r="D284" s="30">
        <v>93.510999999999996</v>
      </c>
      <c r="E284" s="30">
        <v>95.551000000000002</v>
      </c>
      <c r="F284" s="30">
        <v>84.531999999999996</v>
      </c>
      <c r="G284" s="30">
        <v>98.088999999999999</v>
      </c>
      <c r="H284" s="30">
        <v>91.495999999999995</v>
      </c>
      <c r="I284" s="30">
        <v>95.013000000000005</v>
      </c>
      <c r="J284" s="30">
        <v>90.296000000000006</v>
      </c>
      <c r="K284" s="30">
        <v>99.268000000000001</v>
      </c>
      <c r="L284" s="30">
        <v>91.128</v>
      </c>
      <c r="M284" s="30">
        <v>98.891999999999996</v>
      </c>
      <c r="N284" s="30">
        <v>64.727000000000004</v>
      </c>
      <c r="O284" s="30">
        <v>90.447000000000003</v>
      </c>
      <c r="P284" s="30">
        <v>96.557000000000002</v>
      </c>
      <c r="Q284" s="30">
        <v>89.501999999999995</v>
      </c>
      <c r="R284" s="30">
        <v>82.576999999999998</v>
      </c>
    </row>
    <row r="285" spans="1:18" x14ac:dyDescent="0.2">
      <c r="A285" s="10" t="s">
        <v>81</v>
      </c>
      <c r="B285" s="6">
        <f t="shared" si="4"/>
        <v>2011</v>
      </c>
      <c r="C285" s="11">
        <v>40695</v>
      </c>
      <c r="D285" s="30">
        <v>93.456000000000003</v>
      </c>
      <c r="E285" s="30">
        <v>96.459000000000003</v>
      </c>
      <c r="F285" s="30">
        <v>84.03</v>
      </c>
      <c r="G285" s="30">
        <v>96.239000000000004</v>
      </c>
      <c r="H285" s="30">
        <v>91.569000000000003</v>
      </c>
      <c r="I285" s="30">
        <v>95.457999999999998</v>
      </c>
      <c r="J285" s="30">
        <v>90.331999999999994</v>
      </c>
      <c r="K285" s="30">
        <v>99.510999999999996</v>
      </c>
      <c r="L285" s="30">
        <v>90.247</v>
      </c>
      <c r="M285" s="30">
        <v>98</v>
      </c>
      <c r="N285" s="30">
        <v>64.727000000000004</v>
      </c>
      <c r="O285" s="30">
        <v>90.617000000000004</v>
      </c>
      <c r="P285" s="30">
        <v>96.572000000000003</v>
      </c>
      <c r="Q285" s="30">
        <v>89.548000000000002</v>
      </c>
      <c r="R285" s="30">
        <v>82.688999999999993</v>
      </c>
    </row>
    <row r="286" spans="1:18" x14ac:dyDescent="0.2">
      <c r="A286" s="10" t="s">
        <v>82</v>
      </c>
      <c r="B286" s="6">
        <f t="shared" si="4"/>
        <v>2011</v>
      </c>
      <c r="C286" s="11">
        <v>40725</v>
      </c>
      <c r="D286" s="30">
        <v>93.456999999999994</v>
      </c>
      <c r="E286" s="30">
        <v>96.748000000000005</v>
      </c>
      <c r="F286" s="30">
        <v>84.522000000000006</v>
      </c>
      <c r="G286" s="30">
        <v>92.896000000000001</v>
      </c>
      <c r="H286" s="30">
        <v>91.736000000000004</v>
      </c>
      <c r="I286" s="30">
        <v>94.417000000000002</v>
      </c>
      <c r="J286" s="30">
        <v>90.817999999999998</v>
      </c>
      <c r="K286" s="30">
        <v>100.02800000000001</v>
      </c>
      <c r="L286" s="30">
        <v>91.031000000000006</v>
      </c>
      <c r="M286" s="30">
        <v>97.991</v>
      </c>
      <c r="N286" s="30">
        <v>64.727000000000004</v>
      </c>
      <c r="O286" s="30">
        <v>90.751999999999995</v>
      </c>
      <c r="P286" s="30">
        <v>96.876000000000005</v>
      </c>
      <c r="Q286" s="30">
        <v>90.191999999999993</v>
      </c>
      <c r="R286" s="30">
        <v>82.552000000000007</v>
      </c>
    </row>
    <row r="287" spans="1:18" x14ac:dyDescent="0.2">
      <c r="A287" s="10" t="s">
        <v>83</v>
      </c>
      <c r="B287" s="6">
        <f t="shared" si="4"/>
        <v>2011</v>
      </c>
      <c r="C287" s="11">
        <v>40756</v>
      </c>
      <c r="D287" s="30">
        <v>93.921999999999997</v>
      </c>
      <c r="E287" s="30">
        <v>96.888000000000005</v>
      </c>
      <c r="F287" s="30">
        <v>84.085999999999999</v>
      </c>
      <c r="G287" s="30">
        <v>96.328000000000003</v>
      </c>
      <c r="H287" s="30">
        <v>91.992000000000004</v>
      </c>
      <c r="I287" s="30">
        <v>96.334999999999994</v>
      </c>
      <c r="J287" s="30">
        <v>91.171000000000006</v>
      </c>
      <c r="K287" s="30">
        <v>100.95099999999999</v>
      </c>
      <c r="L287" s="30">
        <v>91.132999999999996</v>
      </c>
      <c r="M287" s="30">
        <v>97.585999999999999</v>
      </c>
      <c r="N287" s="30">
        <v>64.727000000000004</v>
      </c>
      <c r="O287" s="30">
        <v>90.968000000000004</v>
      </c>
      <c r="P287" s="30">
        <v>97.245999999999995</v>
      </c>
      <c r="Q287" s="30">
        <v>90.344999999999999</v>
      </c>
      <c r="R287" s="30">
        <v>83.444999999999993</v>
      </c>
    </row>
    <row r="288" spans="1:18" x14ac:dyDescent="0.2">
      <c r="A288" s="10" t="s">
        <v>84</v>
      </c>
      <c r="B288" s="6">
        <f t="shared" si="4"/>
        <v>2011</v>
      </c>
      <c r="C288" s="11">
        <v>40787</v>
      </c>
      <c r="D288" s="30">
        <v>94.459000000000003</v>
      </c>
      <c r="E288" s="30">
        <v>97.082999999999998</v>
      </c>
      <c r="F288" s="30">
        <v>84.724999999999994</v>
      </c>
      <c r="G288" s="30">
        <v>100.536</v>
      </c>
      <c r="H288" s="30">
        <v>93.218999999999994</v>
      </c>
      <c r="I288" s="30">
        <v>97.447000000000003</v>
      </c>
      <c r="J288" s="30">
        <v>91.450999999999993</v>
      </c>
      <c r="K288" s="30">
        <v>98.906000000000006</v>
      </c>
      <c r="L288" s="30">
        <v>91.986000000000004</v>
      </c>
      <c r="M288" s="30">
        <v>97.679000000000002</v>
      </c>
      <c r="N288" s="30">
        <v>66.245000000000005</v>
      </c>
      <c r="O288" s="30">
        <v>91.326999999999998</v>
      </c>
      <c r="P288" s="30">
        <v>97.227000000000004</v>
      </c>
      <c r="Q288" s="30">
        <v>90.459000000000003</v>
      </c>
      <c r="R288" s="30">
        <v>91.643000000000001</v>
      </c>
    </row>
    <row r="289" spans="1:18" x14ac:dyDescent="0.2">
      <c r="A289" s="10" t="s">
        <v>85</v>
      </c>
      <c r="B289" s="6">
        <f t="shared" si="4"/>
        <v>2011</v>
      </c>
      <c r="C289" s="11">
        <v>40817</v>
      </c>
      <c r="D289" s="30">
        <v>94.534000000000006</v>
      </c>
      <c r="E289" s="30">
        <v>96.241</v>
      </c>
      <c r="F289" s="30">
        <v>84.68</v>
      </c>
      <c r="G289" s="30">
        <v>101.33199999999999</v>
      </c>
      <c r="H289" s="30">
        <v>93.47</v>
      </c>
      <c r="I289" s="30">
        <v>96.846999999999994</v>
      </c>
      <c r="J289" s="30">
        <v>91.590999999999994</v>
      </c>
      <c r="K289" s="30">
        <v>98.287999999999997</v>
      </c>
      <c r="L289" s="30">
        <v>91.858000000000004</v>
      </c>
      <c r="M289" s="30">
        <v>98.356999999999999</v>
      </c>
      <c r="N289" s="30">
        <v>68.012</v>
      </c>
      <c r="O289" s="30">
        <v>91.316000000000003</v>
      </c>
      <c r="P289" s="30">
        <v>97.623000000000005</v>
      </c>
      <c r="Q289" s="30">
        <v>90.572000000000003</v>
      </c>
      <c r="R289" s="30">
        <v>92.971999999999994</v>
      </c>
    </row>
    <row r="290" spans="1:18" x14ac:dyDescent="0.2">
      <c r="A290" s="10" t="s">
        <v>86</v>
      </c>
      <c r="B290" s="6">
        <f t="shared" si="4"/>
        <v>2011</v>
      </c>
      <c r="C290" s="11">
        <v>40848</v>
      </c>
      <c r="D290" s="30">
        <v>94.674999999999997</v>
      </c>
      <c r="E290" s="30">
        <v>96.81</v>
      </c>
      <c r="F290" s="30">
        <v>84.915999999999997</v>
      </c>
      <c r="G290" s="30">
        <v>102.496</v>
      </c>
      <c r="H290" s="30">
        <v>93.647000000000006</v>
      </c>
      <c r="I290" s="30">
        <v>97.828999999999994</v>
      </c>
      <c r="J290" s="30">
        <v>91.665000000000006</v>
      </c>
      <c r="K290" s="30">
        <v>97.741</v>
      </c>
      <c r="L290" s="30">
        <v>91.727000000000004</v>
      </c>
      <c r="M290" s="30">
        <v>98.09</v>
      </c>
      <c r="N290" s="30">
        <v>68.012</v>
      </c>
      <c r="O290" s="30">
        <v>91.483999999999995</v>
      </c>
      <c r="P290" s="30">
        <v>97.617000000000004</v>
      </c>
      <c r="Q290" s="30">
        <v>90.551000000000002</v>
      </c>
      <c r="R290" s="30">
        <v>93.938999999999993</v>
      </c>
    </row>
    <row r="291" spans="1:18" x14ac:dyDescent="0.2">
      <c r="A291" s="10" t="s">
        <v>87</v>
      </c>
      <c r="B291" s="6">
        <f t="shared" si="4"/>
        <v>2011</v>
      </c>
      <c r="C291" s="11">
        <v>40878</v>
      </c>
      <c r="D291" s="30">
        <v>95.03</v>
      </c>
      <c r="E291" s="30">
        <v>98.131</v>
      </c>
      <c r="F291" s="30">
        <v>83.626000000000005</v>
      </c>
      <c r="G291" s="30">
        <v>99.635000000000005</v>
      </c>
      <c r="H291" s="30">
        <v>93.790999999999997</v>
      </c>
      <c r="I291" s="30">
        <v>98.802000000000007</v>
      </c>
      <c r="J291" s="30">
        <v>91.494</v>
      </c>
      <c r="K291" s="30">
        <v>99.885000000000005</v>
      </c>
      <c r="L291" s="30">
        <v>92.915999999999997</v>
      </c>
      <c r="M291" s="30">
        <v>98.376999999999995</v>
      </c>
      <c r="N291" s="30">
        <v>68.012</v>
      </c>
      <c r="O291" s="30">
        <v>91.581000000000003</v>
      </c>
      <c r="P291" s="30">
        <v>97.887</v>
      </c>
      <c r="Q291" s="30">
        <v>90.703999999999994</v>
      </c>
      <c r="R291" s="30">
        <v>93.962000000000003</v>
      </c>
    </row>
    <row r="292" spans="1:18" x14ac:dyDescent="0.2">
      <c r="A292" s="12">
        <v>201201</v>
      </c>
      <c r="B292" s="6">
        <f t="shared" si="4"/>
        <v>2011</v>
      </c>
      <c r="C292" s="11">
        <v>40909</v>
      </c>
      <c r="D292" s="30">
        <v>94.677000000000007</v>
      </c>
      <c r="E292" s="30">
        <v>97.795000000000002</v>
      </c>
      <c r="F292" s="30">
        <v>85.201999999999998</v>
      </c>
      <c r="G292" s="30">
        <v>94.826999999999998</v>
      </c>
      <c r="H292" s="30">
        <v>93.947000000000003</v>
      </c>
      <c r="I292" s="30">
        <v>96.567999999999998</v>
      </c>
      <c r="J292" s="30">
        <v>92.156999999999996</v>
      </c>
      <c r="K292" s="30">
        <v>99.230999999999995</v>
      </c>
      <c r="L292" s="30">
        <v>92.644999999999996</v>
      </c>
      <c r="M292" s="30">
        <v>98.332999999999998</v>
      </c>
      <c r="N292" s="30">
        <v>68.012</v>
      </c>
      <c r="O292" s="30">
        <v>91.566000000000003</v>
      </c>
      <c r="P292" s="30">
        <v>97.796999999999997</v>
      </c>
      <c r="Q292" s="30">
        <v>91.003</v>
      </c>
      <c r="R292" s="30">
        <v>93.971999999999994</v>
      </c>
    </row>
    <row r="293" spans="1:18" x14ac:dyDescent="0.2">
      <c r="A293" s="12">
        <v>201202</v>
      </c>
      <c r="B293" s="6">
        <f t="shared" si="4"/>
        <v>2011</v>
      </c>
      <c r="C293" s="11">
        <v>40940</v>
      </c>
      <c r="D293" s="30">
        <v>95.156999999999996</v>
      </c>
      <c r="E293" s="30">
        <v>98.972999999999999</v>
      </c>
      <c r="F293" s="30">
        <v>85.903000000000006</v>
      </c>
      <c r="G293" s="30">
        <v>97.510999999999996</v>
      </c>
      <c r="H293" s="30">
        <v>93.897000000000006</v>
      </c>
      <c r="I293" s="30">
        <v>98.072999999999993</v>
      </c>
      <c r="J293" s="30">
        <v>92.263000000000005</v>
      </c>
      <c r="K293" s="30">
        <v>99.834999999999994</v>
      </c>
      <c r="L293" s="30">
        <v>93.171000000000006</v>
      </c>
      <c r="M293" s="30">
        <v>98.23</v>
      </c>
      <c r="N293" s="30">
        <v>68.012</v>
      </c>
      <c r="O293" s="30">
        <v>91.915999999999997</v>
      </c>
      <c r="P293" s="30">
        <v>98.391999999999996</v>
      </c>
      <c r="Q293" s="30">
        <v>91.001999999999995</v>
      </c>
      <c r="R293" s="30">
        <v>93.119</v>
      </c>
    </row>
    <row r="294" spans="1:18" x14ac:dyDescent="0.2">
      <c r="A294" s="12">
        <v>201203</v>
      </c>
      <c r="B294" s="6">
        <f t="shared" si="4"/>
        <v>2011</v>
      </c>
      <c r="C294" s="11">
        <v>40969</v>
      </c>
      <c r="D294" s="30">
        <v>95.411000000000001</v>
      </c>
      <c r="E294" s="30">
        <v>98.503</v>
      </c>
      <c r="F294" s="30">
        <v>86.057000000000002</v>
      </c>
      <c r="G294" s="30">
        <v>99.58</v>
      </c>
      <c r="H294" s="30">
        <v>93.91</v>
      </c>
      <c r="I294" s="30">
        <v>99.399000000000001</v>
      </c>
      <c r="J294" s="30">
        <v>92.242999999999995</v>
      </c>
      <c r="K294" s="30">
        <v>100.568</v>
      </c>
      <c r="L294" s="30">
        <v>93.685000000000002</v>
      </c>
      <c r="M294" s="30">
        <v>98.150999999999996</v>
      </c>
      <c r="N294" s="30">
        <v>68.012</v>
      </c>
      <c r="O294" s="30">
        <v>92.123000000000005</v>
      </c>
      <c r="P294" s="30">
        <v>98.372</v>
      </c>
      <c r="Q294" s="30">
        <v>91.076999999999998</v>
      </c>
      <c r="R294" s="30">
        <v>92.59</v>
      </c>
    </row>
    <row r="295" spans="1:18" x14ac:dyDescent="0.2">
      <c r="A295" s="12">
        <v>201204</v>
      </c>
      <c r="B295" s="6">
        <f t="shared" si="4"/>
        <v>2012</v>
      </c>
      <c r="C295" s="11">
        <v>41000</v>
      </c>
      <c r="D295" s="30">
        <v>95.897000000000006</v>
      </c>
      <c r="E295" s="30">
        <v>98.378</v>
      </c>
      <c r="F295" s="30">
        <v>88.596000000000004</v>
      </c>
      <c r="G295" s="30">
        <v>99.772000000000006</v>
      </c>
      <c r="H295" s="30">
        <v>94.323999999999998</v>
      </c>
      <c r="I295" s="30">
        <v>98.16</v>
      </c>
      <c r="J295" s="30">
        <v>93.263999999999996</v>
      </c>
      <c r="K295" s="30">
        <v>101.77200000000001</v>
      </c>
      <c r="L295" s="30">
        <v>94.093000000000004</v>
      </c>
      <c r="M295" s="30">
        <v>98.58</v>
      </c>
      <c r="N295" s="30">
        <v>68.012</v>
      </c>
      <c r="O295" s="30">
        <v>93.024000000000001</v>
      </c>
      <c r="P295" s="30">
        <v>98.53</v>
      </c>
      <c r="Q295" s="30">
        <v>92.432000000000002</v>
      </c>
      <c r="R295" s="30">
        <v>92.213999999999999</v>
      </c>
    </row>
    <row r="296" spans="1:18" x14ac:dyDescent="0.2">
      <c r="A296" s="12">
        <v>201205</v>
      </c>
      <c r="B296" s="6">
        <f t="shared" si="4"/>
        <v>2012</v>
      </c>
      <c r="C296" s="11">
        <v>41030</v>
      </c>
      <c r="D296" s="30">
        <v>95.875</v>
      </c>
      <c r="E296" s="30">
        <v>98.707999999999998</v>
      </c>
      <c r="F296" s="30">
        <v>88.53</v>
      </c>
      <c r="G296" s="30">
        <v>99.650999999999996</v>
      </c>
      <c r="H296" s="30">
        <v>94.352999999999994</v>
      </c>
      <c r="I296" s="30">
        <v>98.83</v>
      </c>
      <c r="J296" s="30">
        <v>93.221000000000004</v>
      </c>
      <c r="K296" s="30">
        <v>100.983</v>
      </c>
      <c r="L296" s="30">
        <v>95.055000000000007</v>
      </c>
      <c r="M296" s="30">
        <v>98.159000000000006</v>
      </c>
      <c r="N296" s="30">
        <v>68.012</v>
      </c>
      <c r="O296" s="30">
        <v>93.417000000000002</v>
      </c>
      <c r="P296" s="30">
        <v>98.558000000000007</v>
      </c>
      <c r="Q296" s="30">
        <v>92.536000000000001</v>
      </c>
      <c r="R296" s="30">
        <v>91.908000000000001</v>
      </c>
    </row>
    <row r="297" spans="1:18" x14ac:dyDescent="0.2">
      <c r="A297" s="12">
        <v>201206</v>
      </c>
      <c r="B297" s="6">
        <f t="shared" si="4"/>
        <v>2012</v>
      </c>
      <c r="C297" s="11">
        <v>41061</v>
      </c>
      <c r="D297" s="30">
        <v>95.581000000000003</v>
      </c>
      <c r="E297" s="30">
        <v>98.602999999999994</v>
      </c>
      <c r="F297" s="30">
        <v>88.064999999999998</v>
      </c>
      <c r="G297" s="30">
        <v>95.489000000000004</v>
      </c>
      <c r="H297" s="30">
        <v>94.394999999999996</v>
      </c>
      <c r="I297" s="30">
        <v>98.850999999999999</v>
      </c>
      <c r="J297" s="30">
        <v>93.623000000000005</v>
      </c>
      <c r="K297" s="30">
        <v>100.47499999999999</v>
      </c>
      <c r="L297" s="30">
        <v>94.897999999999996</v>
      </c>
      <c r="M297" s="30">
        <v>98.257999999999996</v>
      </c>
      <c r="N297" s="30">
        <v>68.012</v>
      </c>
      <c r="O297" s="30">
        <v>93.462000000000003</v>
      </c>
      <c r="P297" s="30">
        <v>98.308999999999997</v>
      </c>
      <c r="Q297" s="30">
        <v>92.531000000000006</v>
      </c>
      <c r="R297" s="30">
        <v>91.572000000000003</v>
      </c>
    </row>
    <row r="298" spans="1:18" x14ac:dyDescent="0.2">
      <c r="A298" s="12">
        <v>201207</v>
      </c>
      <c r="B298" s="6">
        <f t="shared" si="4"/>
        <v>2012</v>
      </c>
      <c r="C298" s="11">
        <v>41091</v>
      </c>
      <c r="D298" s="30">
        <v>95.665000000000006</v>
      </c>
      <c r="E298" s="30">
        <v>98.775000000000006</v>
      </c>
      <c r="F298" s="30">
        <v>88.712999999999994</v>
      </c>
      <c r="G298" s="30">
        <v>93.013999999999996</v>
      </c>
      <c r="H298" s="30">
        <v>94.585999999999999</v>
      </c>
      <c r="I298" s="30">
        <v>97.796000000000006</v>
      </c>
      <c r="J298" s="30">
        <v>93.602999999999994</v>
      </c>
      <c r="K298" s="30">
        <v>101.432</v>
      </c>
      <c r="L298" s="30">
        <v>95.24</v>
      </c>
      <c r="M298" s="30">
        <v>98.387</v>
      </c>
      <c r="N298" s="30">
        <v>68.012</v>
      </c>
      <c r="O298" s="30">
        <v>93.656999999999996</v>
      </c>
      <c r="P298" s="30">
        <v>98.415999999999997</v>
      </c>
      <c r="Q298" s="30">
        <v>93.307000000000002</v>
      </c>
      <c r="R298" s="30">
        <v>91.667000000000002</v>
      </c>
    </row>
    <row r="299" spans="1:18" x14ac:dyDescent="0.2">
      <c r="A299" s="12">
        <v>201208</v>
      </c>
      <c r="B299" s="6">
        <f t="shared" si="4"/>
        <v>2012</v>
      </c>
      <c r="C299" s="11">
        <v>41122</v>
      </c>
      <c r="D299" s="30">
        <v>96.081000000000003</v>
      </c>
      <c r="E299" s="30">
        <v>98.984999999999999</v>
      </c>
      <c r="F299" s="30">
        <v>88.908000000000001</v>
      </c>
      <c r="G299" s="30">
        <v>95.64</v>
      </c>
      <c r="H299" s="30">
        <v>94.733999999999995</v>
      </c>
      <c r="I299" s="30">
        <v>98.585999999999999</v>
      </c>
      <c r="J299" s="30">
        <v>93.62</v>
      </c>
      <c r="K299" s="30">
        <v>102.73099999999999</v>
      </c>
      <c r="L299" s="30">
        <v>95.311999999999998</v>
      </c>
      <c r="M299" s="30">
        <v>98.155000000000001</v>
      </c>
      <c r="N299" s="30">
        <v>68.012</v>
      </c>
      <c r="O299" s="30">
        <v>93.754999999999995</v>
      </c>
      <c r="P299" s="30">
        <v>98.683000000000007</v>
      </c>
      <c r="Q299" s="30">
        <v>93.400999999999996</v>
      </c>
      <c r="R299" s="30">
        <v>91.942999999999998</v>
      </c>
    </row>
    <row r="300" spans="1:18" x14ac:dyDescent="0.2">
      <c r="A300" s="12">
        <v>201209</v>
      </c>
      <c r="B300" s="6">
        <f t="shared" si="4"/>
        <v>2012</v>
      </c>
      <c r="C300" s="11">
        <v>41153</v>
      </c>
      <c r="D300" s="30">
        <v>96.418000000000006</v>
      </c>
      <c r="E300" s="30">
        <v>98.980999999999995</v>
      </c>
      <c r="F300" s="30">
        <v>89.849000000000004</v>
      </c>
      <c r="G300" s="30">
        <v>100.075</v>
      </c>
      <c r="H300" s="30">
        <v>94.875</v>
      </c>
      <c r="I300" s="30">
        <v>99.094999999999999</v>
      </c>
      <c r="J300" s="30">
        <v>93.769000000000005</v>
      </c>
      <c r="K300" s="30">
        <v>101.48399999999999</v>
      </c>
      <c r="L300" s="30">
        <v>95.3</v>
      </c>
      <c r="M300" s="30">
        <v>98.814999999999998</v>
      </c>
      <c r="N300" s="30">
        <v>68.340999999999994</v>
      </c>
      <c r="O300" s="30">
        <v>94.02</v>
      </c>
      <c r="P300" s="30">
        <v>99.346000000000004</v>
      </c>
      <c r="Q300" s="30">
        <v>93.414000000000001</v>
      </c>
      <c r="R300" s="30">
        <v>92.066000000000003</v>
      </c>
    </row>
    <row r="301" spans="1:18" x14ac:dyDescent="0.2">
      <c r="A301" s="12">
        <v>201210</v>
      </c>
      <c r="B301" s="6">
        <f t="shared" si="4"/>
        <v>2012</v>
      </c>
      <c r="C301" s="11">
        <v>41183</v>
      </c>
      <c r="D301" s="30">
        <v>96.831000000000003</v>
      </c>
      <c r="E301" s="30">
        <v>99.474000000000004</v>
      </c>
      <c r="F301" s="30">
        <v>90.188000000000002</v>
      </c>
      <c r="G301" s="30">
        <v>101.258</v>
      </c>
      <c r="H301" s="30">
        <v>94.947999999999993</v>
      </c>
      <c r="I301" s="30">
        <v>98.525000000000006</v>
      </c>
      <c r="J301" s="30">
        <v>93.906999999999996</v>
      </c>
      <c r="K301" s="30">
        <v>101.36199999999999</v>
      </c>
      <c r="L301" s="30">
        <v>95.484999999999999</v>
      </c>
      <c r="M301" s="30">
        <v>99.180999999999997</v>
      </c>
      <c r="N301" s="30">
        <v>81.426000000000002</v>
      </c>
      <c r="O301" s="30">
        <v>93.981999999999999</v>
      </c>
      <c r="P301" s="30">
        <v>99.356999999999999</v>
      </c>
      <c r="Q301" s="30">
        <v>93.807000000000002</v>
      </c>
      <c r="R301" s="30">
        <v>91.986000000000004</v>
      </c>
    </row>
    <row r="302" spans="1:18" x14ac:dyDescent="0.2">
      <c r="A302" s="12">
        <v>201211</v>
      </c>
      <c r="B302" s="6">
        <f t="shared" si="4"/>
        <v>2012</v>
      </c>
      <c r="C302" s="11">
        <v>41214</v>
      </c>
      <c r="D302" s="30">
        <v>96.971999999999994</v>
      </c>
      <c r="E302" s="30">
        <v>100.559</v>
      </c>
      <c r="F302" s="30">
        <v>89.734999999999999</v>
      </c>
      <c r="G302" s="30">
        <v>101.89</v>
      </c>
      <c r="H302" s="30">
        <v>95.233999999999995</v>
      </c>
      <c r="I302" s="30">
        <v>98.438999999999993</v>
      </c>
      <c r="J302" s="30">
        <v>93.953999999999994</v>
      </c>
      <c r="K302" s="30">
        <v>100.376</v>
      </c>
      <c r="L302" s="30">
        <v>95.287000000000006</v>
      </c>
      <c r="M302" s="30">
        <v>99.111999999999995</v>
      </c>
      <c r="N302" s="30">
        <v>81.426000000000002</v>
      </c>
      <c r="O302" s="30">
        <v>94.498999999999995</v>
      </c>
      <c r="P302" s="30">
        <v>99.724000000000004</v>
      </c>
      <c r="Q302" s="30">
        <v>93.893000000000001</v>
      </c>
      <c r="R302" s="30">
        <v>93.465000000000003</v>
      </c>
    </row>
    <row r="303" spans="1:18" x14ac:dyDescent="0.2">
      <c r="A303" s="12">
        <v>201212</v>
      </c>
      <c r="B303" s="6">
        <f t="shared" si="4"/>
        <v>2012</v>
      </c>
      <c r="C303" s="11">
        <v>41244</v>
      </c>
      <c r="D303" s="30">
        <v>97.343999999999994</v>
      </c>
      <c r="E303" s="30">
        <v>101.816</v>
      </c>
      <c r="F303" s="30">
        <v>88.707999999999998</v>
      </c>
      <c r="G303" s="30">
        <v>100.42</v>
      </c>
      <c r="H303" s="30">
        <v>95.989000000000004</v>
      </c>
      <c r="I303" s="30">
        <v>99.653000000000006</v>
      </c>
      <c r="J303" s="30">
        <v>94.049000000000007</v>
      </c>
      <c r="K303" s="30">
        <v>101.054</v>
      </c>
      <c r="L303" s="30">
        <v>95.173000000000002</v>
      </c>
      <c r="M303" s="30">
        <v>99.058000000000007</v>
      </c>
      <c r="N303" s="30">
        <v>81.426000000000002</v>
      </c>
      <c r="O303" s="30">
        <v>94.531000000000006</v>
      </c>
      <c r="P303" s="30">
        <v>99.793000000000006</v>
      </c>
      <c r="Q303" s="30">
        <v>94.022000000000006</v>
      </c>
      <c r="R303" s="30">
        <v>98.233999999999995</v>
      </c>
    </row>
    <row r="304" spans="1:18" x14ac:dyDescent="0.2">
      <c r="A304" s="12">
        <v>201301</v>
      </c>
      <c r="B304" s="6">
        <f t="shared" si="4"/>
        <v>2012</v>
      </c>
      <c r="C304" s="11">
        <v>41275</v>
      </c>
      <c r="D304" s="30">
        <v>96.975999999999999</v>
      </c>
      <c r="E304" s="30">
        <v>101.88500000000001</v>
      </c>
      <c r="F304" s="30">
        <v>92.572000000000003</v>
      </c>
      <c r="G304" s="30">
        <v>95.021000000000001</v>
      </c>
      <c r="H304" s="30">
        <v>95.972999999999999</v>
      </c>
      <c r="I304" s="30">
        <v>97.405000000000001</v>
      </c>
      <c r="J304" s="30">
        <v>94.228999999999999</v>
      </c>
      <c r="K304" s="30">
        <v>100.36499999999999</v>
      </c>
      <c r="L304" s="30">
        <v>96.114000000000004</v>
      </c>
      <c r="M304" s="30">
        <v>98.953000000000003</v>
      </c>
      <c r="N304" s="30">
        <v>81.426000000000002</v>
      </c>
      <c r="O304" s="30">
        <v>94.510999999999996</v>
      </c>
      <c r="P304" s="30">
        <v>99.106999999999999</v>
      </c>
      <c r="Q304" s="30">
        <v>93.918000000000006</v>
      </c>
      <c r="R304" s="30">
        <v>98.128</v>
      </c>
    </row>
    <row r="305" spans="1:18" x14ac:dyDescent="0.2">
      <c r="A305" s="12">
        <v>201302</v>
      </c>
      <c r="B305" s="6">
        <f t="shared" si="4"/>
        <v>2012</v>
      </c>
      <c r="C305" s="11">
        <v>41306</v>
      </c>
      <c r="D305" s="30">
        <v>97.52</v>
      </c>
      <c r="E305" s="30">
        <v>102.596</v>
      </c>
      <c r="F305" s="30">
        <v>92.055999999999997</v>
      </c>
      <c r="G305" s="30">
        <v>96.947000000000003</v>
      </c>
      <c r="H305" s="30">
        <v>96.203999999999994</v>
      </c>
      <c r="I305" s="30">
        <v>98.837000000000003</v>
      </c>
      <c r="J305" s="30">
        <v>94.239000000000004</v>
      </c>
      <c r="K305" s="30">
        <v>101.58499999999999</v>
      </c>
      <c r="L305" s="30">
        <v>97.11</v>
      </c>
      <c r="M305" s="30">
        <v>99.46</v>
      </c>
      <c r="N305" s="30">
        <v>81.426000000000002</v>
      </c>
      <c r="O305" s="30">
        <v>94.778999999999996</v>
      </c>
      <c r="P305" s="30">
        <v>99.227000000000004</v>
      </c>
      <c r="Q305" s="30">
        <v>93.953000000000003</v>
      </c>
      <c r="R305" s="30">
        <v>99.41</v>
      </c>
    </row>
    <row r="306" spans="1:18" x14ac:dyDescent="0.2">
      <c r="A306" s="12">
        <v>201303</v>
      </c>
      <c r="B306" s="6">
        <f t="shared" si="4"/>
        <v>2012</v>
      </c>
      <c r="C306" s="11">
        <v>41334</v>
      </c>
      <c r="D306" s="30">
        <v>97.808999999999997</v>
      </c>
      <c r="E306" s="30">
        <v>102.14</v>
      </c>
      <c r="F306" s="30">
        <v>91.600999999999999</v>
      </c>
      <c r="G306" s="30">
        <v>99.218999999999994</v>
      </c>
      <c r="H306" s="30">
        <v>96.253</v>
      </c>
      <c r="I306" s="30">
        <v>99.602000000000004</v>
      </c>
      <c r="J306" s="30">
        <v>94.450999999999993</v>
      </c>
      <c r="K306" s="30">
        <v>102.20699999999999</v>
      </c>
      <c r="L306" s="30">
        <v>97.043000000000006</v>
      </c>
      <c r="M306" s="30">
        <v>99.959000000000003</v>
      </c>
      <c r="N306" s="30">
        <v>81.426000000000002</v>
      </c>
      <c r="O306" s="30">
        <v>94.948999999999998</v>
      </c>
      <c r="P306" s="30">
        <v>99.436000000000007</v>
      </c>
      <c r="Q306" s="30">
        <v>94.006</v>
      </c>
      <c r="R306" s="30">
        <v>99.334999999999994</v>
      </c>
    </row>
    <row r="307" spans="1:18" x14ac:dyDescent="0.2">
      <c r="A307" s="12">
        <v>201304</v>
      </c>
      <c r="B307" s="6">
        <f t="shared" si="4"/>
        <v>2013</v>
      </c>
      <c r="C307" s="11">
        <v>41365</v>
      </c>
      <c r="D307" s="30">
        <v>97.998000000000005</v>
      </c>
      <c r="E307" s="30">
        <v>102.86199999999999</v>
      </c>
      <c r="F307" s="30">
        <v>93.688000000000002</v>
      </c>
      <c r="G307" s="30">
        <v>99.176000000000002</v>
      </c>
      <c r="H307" s="30">
        <v>96.608999999999995</v>
      </c>
      <c r="I307" s="30">
        <v>98.308000000000007</v>
      </c>
      <c r="J307" s="30">
        <v>95.504999999999995</v>
      </c>
      <c r="K307" s="30">
        <v>101.55200000000001</v>
      </c>
      <c r="L307" s="30">
        <v>97.153000000000006</v>
      </c>
      <c r="M307" s="30">
        <v>99.98</v>
      </c>
      <c r="N307" s="30">
        <v>81.426000000000002</v>
      </c>
      <c r="O307" s="30">
        <v>95.393000000000001</v>
      </c>
      <c r="P307" s="30">
        <v>99.581999999999994</v>
      </c>
      <c r="Q307" s="30">
        <v>94.789000000000001</v>
      </c>
      <c r="R307" s="30">
        <v>99.055000000000007</v>
      </c>
    </row>
    <row r="308" spans="1:18" x14ac:dyDescent="0.2">
      <c r="A308" s="12">
        <v>201305</v>
      </c>
      <c r="B308" s="6">
        <f t="shared" si="4"/>
        <v>2013</v>
      </c>
      <c r="C308" s="11">
        <v>41395</v>
      </c>
      <c r="D308" s="30">
        <v>98.191999999999993</v>
      </c>
      <c r="E308" s="30">
        <v>102.89</v>
      </c>
      <c r="F308" s="30">
        <v>94.116</v>
      </c>
      <c r="G308" s="30">
        <v>100.337</v>
      </c>
      <c r="H308" s="30">
        <v>96.63</v>
      </c>
      <c r="I308" s="30">
        <v>99.337000000000003</v>
      </c>
      <c r="J308" s="30">
        <v>95.454999999999998</v>
      </c>
      <c r="K308" s="30">
        <v>102.035</v>
      </c>
      <c r="L308" s="30">
        <v>97.495000000000005</v>
      </c>
      <c r="M308" s="30">
        <v>99.709000000000003</v>
      </c>
      <c r="N308" s="30">
        <v>81.426000000000002</v>
      </c>
      <c r="O308" s="30">
        <v>95.712000000000003</v>
      </c>
      <c r="P308" s="30">
        <v>99.480999999999995</v>
      </c>
      <c r="Q308" s="30">
        <v>94.819000000000003</v>
      </c>
      <c r="R308" s="30">
        <v>98.738</v>
      </c>
    </row>
    <row r="309" spans="1:18" x14ac:dyDescent="0.2">
      <c r="A309" s="13">
        <v>201306</v>
      </c>
      <c r="B309" s="6">
        <f t="shared" si="4"/>
        <v>2013</v>
      </c>
      <c r="C309" s="14">
        <v>41426</v>
      </c>
      <c r="D309" s="30">
        <v>98.046000000000006</v>
      </c>
      <c r="E309" s="30">
        <v>102.342</v>
      </c>
      <c r="F309" s="30">
        <v>93.796000000000006</v>
      </c>
      <c r="G309" s="30">
        <v>98.459000000000003</v>
      </c>
      <c r="H309" s="30">
        <v>96.691999999999993</v>
      </c>
      <c r="I309" s="30">
        <v>98.91</v>
      </c>
      <c r="J309" s="30">
        <v>95.412000000000006</v>
      </c>
      <c r="K309" s="30">
        <v>102.146</v>
      </c>
      <c r="L309" s="30">
        <v>97.527000000000001</v>
      </c>
      <c r="M309" s="30">
        <v>99.524000000000001</v>
      </c>
      <c r="N309" s="30">
        <v>81.426000000000002</v>
      </c>
      <c r="O309" s="30">
        <v>95.828999999999994</v>
      </c>
      <c r="P309" s="30">
        <v>99.685000000000002</v>
      </c>
      <c r="Q309" s="30">
        <v>94.837000000000003</v>
      </c>
      <c r="R309" s="30">
        <v>98.724999999999994</v>
      </c>
    </row>
    <row r="310" spans="1:18" x14ac:dyDescent="0.2">
      <c r="A310" s="13">
        <v>201307</v>
      </c>
      <c r="B310" s="6">
        <f t="shared" si="4"/>
        <v>2013</v>
      </c>
      <c r="C310" s="14">
        <v>41456</v>
      </c>
      <c r="D310" s="30">
        <v>98.028000000000006</v>
      </c>
      <c r="E310" s="30">
        <v>102.57899999999999</v>
      </c>
      <c r="F310" s="30">
        <v>94.417000000000002</v>
      </c>
      <c r="G310" s="30">
        <v>95.340999999999994</v>
      </c>
      <c r="H310" s="30">
        <v>96.885999999999996</v>
      </c>
      <c r="I310" s="30">
        <v>97.921999999999997</v>
      </c>
      <c r="J310" s="30">
        <v>96.031000000000006</v>
      </c>
      <c r="K310" s="30">
        <v>103.08499999999999</v>
      </c>
      <c r="L310" s="30">
        <v>97.793999999999997</v>
      </c>
      <c r="M310" s="30">
        <v>99.058000000000007</v>
      </c>
      <c r="N310" s="30">
        <v>81.426000000000002</v>
      </c>
      <c r="O310" s="30">
        <v>96.034000000000006</v>
      </c>
      <c r="P310" s="30">
        <v>99.813000000000002</v>
      </c>
      <c r="Q310" s="30">
        <v>95.486999999999995</v>
      </c>
      <c r="R310" s="30">
        <v>99.004999999999995</v>
      </c>
    </row>
    <row r="311" spans="1:18" x14ac:dyDescent="0.2">
      <c r="A311" s="13">
        <v>201308</v>
      </c>
      <c r="B311" s="6">
        <f t="shared" si="4"/>
        <v>2013</v>
      </c>
      <c r="C311" s="14">
        <v>41487</v>
      </c>
      <c r="D311" s="30">
        <v>98.397999999999996</v>
      </c>
      <c r="E311" s="30">
        <v>103.093</v>
      </c>
      <c r="F311" s="30">
        <v>94.343000000000004</v>
      </c>
      <c r="G311" s="30">
        <v>97.191999999999993</v>
      </c>
      <c r="H311" s="30">
        <v>96.965000000000003</v>
      </c>
      <c r="I311" s="30">
        <v>99.626000000000005</v>
      </c>
      <c r="J311" s="30">
        <v>96.230999999999995</v>
      </c>
      <c r="K311" s="30">
        <v>104.123</v>
      </c>
      <c r="L311" s="30">
        <v>97.659000000000006</v>
      </c>
      <c r="M311" s="30">
        <v>99.061999999999998</v>
      </c>
      <c r="N311" s="30">
        <v>81.426000000000002</v>
      </c>
      <c r="O311" s="30">
        <v>95.984999999999999</v>
      </c>
      <c r="P311" s="30">
        <v>99.872</v>
      </c>
      <c r="Q311" s="30">
        <v>95.525999999999996</v>
      </c>
      <c r="R311" s="30">
        <v>99.007000000000005</v>
      </c>
    </row>
    <row r="312" spans="1:18" x14ac:dyDescent="0.2">
      <c r="A312" s="13">
        <v>201309</v>
      </c>
      <c r="B312" s="6">
        <f t="shared" si="4"/>
        <v>2013</v>
      </c>
      <c r="C312" s="14">
        <v>41518</v>
      </c>
      <c r="D312" s="30">
        <v>98.683999999999997</v>
      </c>
      <c r="E312" s="30">
        <v>103.209</v>
      </c>
      <c r="F312" s="30">
        <v>94.763000000000005</v>
      </c>
      <c r="G312" s="30">
        <v>101.227</v>
      </c>
      <c r="H312" s="30">
        <v>97.034000000000006</v>
      </c>
      <c r="I312" s="30">
        <v>99.769000000000005</v>
      </c>
      <c r="J312" s="30">
        <v>96.423000000000002</v>
      </c>
      <c r="K312" s="30">
        <v>102.625</v>
      </c>
      <c r="L312" s="30">
        <v>97.718000000000004</v>
      </c>
      <c r="M312" s="30">
        <v>99.659000000000006</v>
      </c>
      <c r="N312" s="30">
        <v>82.986999999999995</v>
      </c>
      <c r="O312" s="30">
        <v>96.426000000000002</v>
      </c>
      <c r="P312" s="30">
        <v>100.203</v>
      </c>
      <c r="Q312" s="30">
        <v>95.551000000000002</v>
      </c>
      <c r="R312" s="30">
        <v>99.128</v>
      </c>
    </row>
    <row r="313" spans="1:18" x14ac:dyDescent="0.2">
      <c r="A313" s="13">
        <v>201310</v>
      </c>
      <c r="B313" s="6">
        <f t="shared" si="4"/>
        <v>2013</v>
      </c>
      <c r="C313" s="14">
        <v>41548</v>
      </c>
      <c r="D313" s="30">
        <v>98.751999999999995</v>
      </c>
      <c r="E313" s="30">
        <v>103.34699999999999</v>
      </c>
      <c r="F313" s="30">
        <v>95.063000000000002</v>
      </c>
      <c r="G313" s="30">
        <v>102.255</v>
      </c>
      <c r="H313" s="30">
        <v>97.111000000000004</v>
      </c>
      <c r="I313" s="30">
        <v>99.408000000000001</v>
      </c>
      <c r="J313" s="30">
        <v>96.274000000000001</v>
      </c>
      <c r="K313" s="30">
        <v>101.038</v>
      </c>
      <c r="L313" s="30">
        <v>98.019000000000005</v>
      </c>
      <c r="M313" s="30">
        <v>99.83</v>
      </c>
      <c r="N313" s="30">
        <v>89.787999999999997</v>
      </c>
      <c r="O313" s="30">
        <v>96.63</v>
      </c>
      <c r="P313" s="30">
        <v>99.957999999999998</v>
      </c>
      <c r="Q313" s="30">
        <v>95.602000000000004</v>
      </c>
      <c r="R313" s="30">
        <v>99.013000000000005</v>
      </c>
    </row>
    <row r="314" spans="1:18" x14ac:dyDescent="0.2">
      <c r="A314" s="13">
        <v>201311</v>
      </c>
      <c r="B314" s="6">
        <f t="shared" si="4"/>
        <v>2013</v>
      </c>
      <c r="C314" s="14">
        <v>41579</v>
      </c>
      <c r="D314" s="30">
        <v>98.822999999999993</v>
      </c>
      <c r="E314" s="30">
        <v>103.363</v>
      </c>
      <c r="F314" s="30">
        <v>94.977999999999994</v>
      </c>
      <c r="G314" s="30">
        <v>102.98399999999999</v>
      </c>
      <c r="H314" s="30">
        <v>97.188000000000002</v>
      </c>
      <c r="I314" s="30">
        <v>99.344999999999999</v>
      </c>
      <c r="J314" s="30">
        <v>96.260999999999996</v>
      </c>
      <c r="K314" s="30">
        <v>100.462</v>
      </c>
      <c r="L314" s="30">
        <v>97.844999999999999</v>
      </c>
      <c r="M314" s="30">
        <v>100.283</v>
      </c>
      <c r="N314" s="30">
        <v>89.787999999999997</v>
      </c>
      <c r="O314" s="30">
        <v>96.713999999999999</v>
      </c>
      <c r="P314" s="30">
        <v>100.23099999999999</v>
      </c>
      <c r="Q314" s="30">
        <v>95.67</v>
      </c>
      <c r="R314" s="30">
        <v>98.95</v>
      </c>
    </row>
    <row r="315" spans="1:18" x14ac:dyDescent="0.2">
      <c r="A315" s="13">
        <v>201312</v>
      </c>
      <c r="B315" s="6">
        <f t="shared" si="4"/>
        <v>2013</v>
      </c>
      <c r="C315" s="14">
        <v>41609</v>
      </c>
      <c r="D315" s="30">
        <v>99.174999999999997</v>
      </c>
      <c r="E315" s="30">
        <v>103.751</v>
      </c>
      <c r="F315" s="30">
        <v>93.840999999999994</v>
      </c>
      <c r="G315" s="30">
        <v>102.032</v>
      </c>
      <c r="H315" s="30">
        <v>98.051000000000002</v>
      </c>
      <c r="I315" s="30">
        <v>101.059</v>
      </c>
      <c r="J315" s="30">
        <v>96.338999999999999</v>
      </c>
      <c r="K315" s="30">
        <v>101.542</v>
      </c>
      <c r="L315" s="30">
        <v>98.227999999999994</v>
      </c>
      <c r="M315" s="30">
        <v>99.86</v>
      </c>
      <c r="N315" s="30">
        <v>89.787999999999997</v>
      </c>
      <c r="O315" s="30">
        <v>96.738</v>
      </c>
      <c r="P315" s="30">
        <v>100.005</v>
      </c>
      <c r="Q315" s="30">
        <v>95.757999999999996</v>
      </c>
      <c r="R315" s="30">
        <v>105.179</v>
      </c>
    </row>
    <row r="316" spans="1:18" x14ac:dyDescent="0.2">
      <c r="A316" s="13">
        <v>201401</v>
      </c>
      <c r="B316" s="6">
        <f t="shared" si="4"/>
        <v>2013</v>
      </c>
      <c r="C316" s="14">
        <v>41640</v>
      </c>
      <c r="D316" s="30">
        <v>98.703999999999994</v>
      </c>
      <c r="E316" s="30">
        <v>103.898</v>
      </c>
      <c r="F316" s="30">
        <v>96.728999999999999</v>
      </c>
      <c r="G316" s="30">
        <v>96.569000000000003</v>
      </c>
      <c r="H316" s="30">
        <v>98.03</v>
      </c>
      <c r="I316" s="30">
        <v>97.93</v>
      </c>
      <c r="J316" s="30">
        <v>96.908000000000001</v>
      </c>
      <c r="K316" s="30">
        <v>100.91500000000001</v>
      </c>
      <c r="L316" s="30">
        <v>98.736000000000004</v>
      </c>
      <c r="M316" s="30">
        <v>99.381</v>
      </c>
      <c r="N316" s="30">
        <v>89.787999999999997</v>
      </c>
      <c r="O316" s="30">
        <v>96.575999999999993</v>
      </c>
      <c r="P316" s="30">
        <v>99.802999999999997</v>
      </c>
      <c r="Q316" s="30">
        <v>95.843000000000004</v>
      </c>
      <c r="R316" s="30">
        <v>104.49</v>
      </c>
    </row>
    <row r="317" spans="1:18" x14ac:dyDescent="0.2">
      <c r="A317" s="13">
        <v>201402</v>
      </c>
      <c r="B317" s="6">
        <f t="shared" si="4"/>
        <v>2013</v>
      </c>
      <c r="C317" s="14">
        <v>41671</v>
      </c>
      <c r="D317" s="30">
        <v>99.113</v>
      </c>
      <c r="E317" s="30">
        <v>104.43600000000001</v>
      </c>
      <c r="F317" s="30">
        <v>95.813999999999993</v>
      </c>
      <c r="G317" s="30">
        <v>97.662000000000006</v>
      </c>
      <c r="H317" s="30">
        <v>98.084000000000003</v>
      </c>
      <c r="I317" s="30">
        <v>100.396</v>
      </c>
      <c r="J317" s="30">
        <v>97.370999999999995</v>
      </c>
      <c r="K317" s="30">
        <v>101.199</v>
      </c>
      <c r="L317" s="30">
        <v>98.938999999999993</v>
      </c>
      <c r="M317" s="30">
        <v>100.188</v>
      </c>
      <c r="N317" s="30">
        <v>89.787999999999997</v>
      </c>
      <c r="O317" s="30">
        <v>96.953000000000003</v>
      </c>
      <c r="P317" s="30">
        <v>100.068</v>
      </c>
      <c r="Q317" s="30">
        <v>95.864999999999995</v>
      </c>
      <c r="R317" s="30">
        <v>104.706</v>
      </c>
    </row>
    <row r="318" spans="1:18" x14ac:dyDescent="0.2">
      <c r="A318" s="13">
        <v>201403</v>
      </c>
      <c r="B318" s="6">
        <f t="shared" si="4"/>
        <v>2013</v>
      </c>
      <c r="C318" s="14">
        <v>41699</v>
      </c>
      <c r="D318" s="30">
        <v>99.305000000000007</v>
      </c>
      <c r="E318" s="30">
        <v>103.91800000000001</v>
      </c>
      <c r="F318" s="30">
        <v>96.111999999999995</v>
      </c>
      <c r="G318" s="30">
        <v>99.427000000000007</v>
      </c>
      <c r="H318" s="30">
        <v>98.066000000000003</v>
      </c>
      <c r="I318" s="30">
        <v>100.673</v>
      </c>
      <c r="J318" s="30">
        <v>97.53</v>
      </c>
      <c r="K318" s="30">
        <v>101.155</v>
      </c>
      <c r="L318" s="30">
        <v>99.176000000000002</v>
      </c>
      <c r="M318" s="30">
        <v>100.59099999999999</v>
      </c>
      <c r="N318" s="30">
        <v>89.787999999999997</v>
      </c>
      <c r="O318" s="30">
        <v>97.414000000000001</v>
      </c>
      <c r="P318" s="30">
        <v>100.35299999999999</v>
      </c>
      <c r="Q318" s="30">
        <v>95.897000000000006</v>
      </c>
      <c r="R318" s="30">
        <v>104.271</v>
      </c>
    </row>
    <row r="319" spans="1:18" x14ac:dyDescent="0.2">
      <c r="A319" s="13">
        <v>201404</v>
      </c>
      <c r="B319" s="6">
        <f t="shared" si="4"/>
        <v>2014</v>
      </c>
      <c r="C319" s="14">
        <v>41730</v>
      </c>
      <c r="D319" s="30">
        <v>99.641000000000005</v>
      </c>
      <c r="E319" s="30">
        <v>103.437</v>
      </c>
      <c r="F319" s="30">
        <v>96.933999999999997</v>
      </c>
      <c r="G319" s="30">
        <v>100.373</v>
      </c>
      <c r="H319" s="30">
        <v>98.46</v>
      </c>
      <c r="I319" s="30">
        <v>99.774000000000001</v>
      </c>
      <c r="J319" s="30">
        <v>98.198999999999998</v>
      </c>
      <c r="K319" s="30">
        <v>103.107</v>
      </c>
      <c r="L319" s="30">
        <v>98.966999999999999</v>
      </c>
      <c r="M319" s="30">
        <v>100.455</v>
      </c>
      <c r="N319" s="30">
        <v>89.787999999999997</v>
      </c>
      <c r="O319" s="30">
        <v>97.570999999999998</v>
      </c>
      <c r="P319" s="30">
        <v>99.959000000000003</v>
      </c>
      <c r="Q319" s="30">
        <v>96.88</v>
      </c>
      <c r="R319" s="30">
        <v>103.67</v>
      </c>
    </row>
    <row r="320" spans="1:18" x14ac:dyDescent="0.2">
      <c r="A320" s="13">
        <v>201405</v>
      </c>
      <c r="B320" s="6">
        <f t="shared" si="4"/>
        <v>2014</v>
      </c>
      <c r="C320" s="14">
        <v>41760</v>
      </c>
      <c r="D320" s="30">
        <v>99.622</v>
      </c>
      <c r="E320" s="30">
        <v>102.23</v>
      </c>
      <c r="F320" s="30">
        <v>98.355999999999995</v>
      </c>
      <c r="G320" s="30">
        <v>100.29</v>
      </c>
      <c r="H320" s="30">
        <v>98.572999999999993</v>
      </c>
      <c r="I320" s="30">
        <v>100.265</v>
      </c>
      <c r="J320" s="30">
        <v>98.278000000000006</v>
      </c>
      <c r="K320" s="30">
        <v>102.435</v>
      </c>
      <c r="L320" s="30">
        <v>98.447000000000003</v>
      </c>
      <c r="M320" s="30">
        <v>100.86799999999999</v>
      </c>
      <c r="N320" s="30">
        <v>89.787999999999997</v>
      </c>
      <c r="O320" s="30">
        <v>97.917000000000002</v>
      </c>
      <c r="P320" s="30">
        <v>99.828000000000003</v>
      </c>
      <c r="Q320" s="30">
        <v>96.984999999999999</v>
      </c>
      <c r="R320" s="30">
        <v>103.587</v>
      </c>
    </row>
    <row r="321" spans="1:18" x14ac:dyDescent="0.2">
      <c r="A321" s="13">
        <v>201406</v>
      </c>
      <c r="B321" s="6">
        <f t="shared" si="4"/>
        <v>2014</v>
      </c>
      <c r="C321" s="14">
        <v>41791</v>
      </c>
      <c r="D321" s="30">
        <v>99.798000000000002</v>
      </c>
      <c r="E321" s="30">
        <v>102.393</v>
      </c>
      <c r="F321" s="30">
        <v>98.414000000000001</v>
      </c>
      <c r="G321" s="30">
        <v>100.875</v>
      </c>
      <c r="H321" s="30">
        <v>98.641000000000005</v>
      </c>
      <c r="I321" s="30">
        <v>100.503</v>
      </c>
      <c r="J321" s="30">
        <v>98.316999999999993</v>
      </c>
      <c r="K321" s="30">
        <v>103.002</v>
      </c>
      <c r="L321" s="30">
        <v>98.370999999999995</v>
      </c>
      <c r="M321" s="30">
        <v>100.824</v>
      </c>
      <c r="N321" s="30">
        <v>89.787999999999997</v>
      </c>
      <c r="O321" s="30">
        <v>98.293999999999997</v>
      </c>
      <c r="P321" s="30">
        <v>99.742000000000004</v>
      </c>
      <c r="Q321" s="30">
        <v>97.097999999999999</v>
      </c>
      <c r="R321" s="30">
        <v>103.545</v>
      </c>
    </row>
    <row r="322" spans="1:18" x14ac:dyDescent="0.2">
      <c r="A322" s="13">
        <v>201407</v>
      </c>
      <c r="B322" s="6">
        <f t="shared" si="4"/>
        <v>2014</v>
      </c>
      <c r="C322" s="14">
        <v>41821</v>
      </c>
      <c r="D322" s="30">
        <v>99.566999999999993</v>
      </c>
      <c r="E322" s="30">
        <v>102.2</v>
      </c>
      <c r="F322" s="30">
        <v>97.731999999999999</v>
      </c>
      <c r="G322" s="30">
        <v>95.128</v>
      </c>
      <c r="H322" s="30">
        <v>98.876999999999995</v>
      </c>
      <c r="I322" s="30">
        <v>98.956999999999994</v>
      </c>
      <c r="J322" s="30">
        <v>98.454999999999998</v>
      </c>
      <c r="K322" s="30">
        <v>104.318</v>
      </c>
      <c r="L322" s="30">
        <v>98.438000000000002</v>
      </c>
      <c r="M322" s="30">
        <v>100.636</v>
      </c>
      <c r="N322" s="30">
        <v>89.787999999999997</v>
      </c>
      <c r="O322" s="30">
        <v>98.701999999999998</v>
      </c>
      <c r="P322" s="30">
        <v>99.28</v>
      </c>
      <c r="Q322" s="30">
        <v>97.665000000000006</v>
      </c>
      <c r="R322" s="30">
        <v>103.495</v>
      </c>
    </row>
    <row r="323" spans="1:18" x14ac:dyDescent="0.2">
      <c r="A323" s="13">
        <v>201408</v>
      </c>
      <c r="B323" s="6">
        <f t="shared" si="4"/>
        <v>2014</v>
      </c>
      <c r="C323" s="14">
        <v>41852</v>
      </c>
      <c r="D323" s="30">
        <v>99.912999999999997</v>
      </c>
      <c r="E323" s="30">
        <v>101.965</v>
      </c>
      <c r="F323" s="30">
        <v>98.688000000000002</v>
      </c>
      <c r="G323" s="30">
        <v>97.606999999999999</v>
      </c>
      <c r="H323" s="30">
        <v>99.022000000000006</v>
      </c>
      <c r="I323" s="30">
        <v>99.936999999999998</v>
      </c>
      <c r="J323" s="30">
        <v>98.941000000000003</v>
      </c>
      <c r="K323" s="30">
        <v>105.154</v>
      </c>
      <c r="L323" s="30">
        <v>98.396000000000001</v>
      </c>
      <c r="M323" s="30">
        <v>100.532</v>
      </c>
      <c r="N323" s="30">
        <v>89.787999999999997</v>
      </c>
      <c r="O323" s="30">
        <v>98.525000000000006</v>
      </c>
      <c r="P323" s="30">
        <v>99.486000000000004</v>
      </c>
      <c r="Q323" s="30">
        <v>97.756</v>
      </c>
      <c r="R323" s="30">
        <v>103.498</v>
      </c>
    </row>
    <row r="324" spans="1:18" x14ac:dyDescent="0.2">
      <c r="A324" s="13">
        <v>201409</v>
      </c>
      <c r="B324" s="6">
        <f t="shared" si="4"/>
        <v>2014</v>
      </c>
      <c r="C324" s="14">
        <v>41883</v>
      </c>
      <c r="D324" s="30">
        <v>99.956999999999994</v>
      </c>
      <c r="E324" s="30">
        <v>101.80800000000001</v>
      </c>
      <c r="F324" s="30">
        <v>99.346999999999994</v>
      </c>
      <c r="G324" s="30">
        <v>101.497</v>
      </c>
      <c r="H324" s="30">
        <v>99.097999999999999</v>
      </c>
      <c r="I324" s="30">
        <v>100.53</v>
      </c>
      <c r="J324" s="30">
        <v>98.715000000000003</v>
      </c>
      <c r="K324" s="30">
        <v>102.63500000000001</v>
      </c>
      <c r="L324" s="30">
        <v>98.513999999999996</v>
      </c>
      <c r="M324" s="30">
        <v>100.447</v>
      </c>
      <c r="N324" s="30">
        <v>91.507999999999996</v>
      </c>
      <c r="O324" s="30">
        <v>98.688999999999993</v>
      </c>
      <c r="P324" s="30">
        <v>99.79</v>
      </c>
      <c r="Q324" s="30">
        <v>97.881</v>
      </c>
      <c r="R324" s="30">
        <v>103.437</v>
      </c>
    </row>
    <row r="325" spans="1:18" x14ac:dyDescent="0.2">
      <c r="A325" s="13">
        <v>201410</v>
      </c>
      <c r="B325" s="6">
        <f t="shared" ref="B325:B388" si="5">IF(MOD(A325,100)&gt;=4,  INT(A325/100), INT(A325/100)-1)</f>
        <v>2014</v>
      </c>
      <c r="C325" s="14">
        <v>41913</v>
      </c>
      <c r="D325" s="30">
        <v>100.08499999999999</v>
      </c>
      <c r="E325" s="30">
        <v>101.884</v>
      </c>
      <c r="F325" s="30">
        <v>100.00700000000001</v>
      </c>
      <c r="G325" s="30">
        <v>102.06699999999999</v>
      </c>
      <c r="H325" s="30">
        <v>99.224000000000004</v>
      </c>
      <c r="I325" s="30">
        <v>99.424000000000007</v>
      </c>
      <c r="J325" s="30">
        <v>98.415999999999997</v>
      </c>
      <c r="K325" s="30">
        <v>101.529</v>
      </c>
      <c r="L325" s="30">
        <v>98.551000000000002</v>
      </c>
      <c r="M325" s="30">
        <v>100.892</v>
      </c>
      <c r="N325" s="30">
        <v>98.724999999999994</v>
      </c>
      <c r="O325" s="30">
        <v>99.024000000000001</v>
      </c>
      <c r="P325" s="30">
        <v>99.668999999999997</v>
      </c>
      <c r="Q325" s="30">
        <v>98.147999999999996</v>
      </c>
      <c r="R325" s="30">
        <v>103.235</v>
      </c>
    </row>
    <row r="326" spans="1:18" x14ac:dyDescent="0.2">
      <c r="A326" s="13">
        <v>201411</v>
      </c>
      <c r="B326" s="6">
        <f t="shared" si="5"/>
        <v>2014</v>
      </c>
      <c r="C326" s="14">
        <v>41944</v>
      </c>
      <c r="D326" s="30">
        <v>99.893000000000001</v>
      </c>
      <c r="E326" s="30">
        <v>101.651</v>
      </c>
      <c r="F326" s="30">
        <v>98.748000000000005</v>
      </c>
      <c r="G326" s="30">
        <v>102.815</v>
      </c>
      <c r="H326" s="30">
        <v>99.304000000000002</v>
      </c>
      <c r="I326" s="30">
        <v>99.551000000000002</v>
      </c>
      <c r="J326" s="30">
        <v>98.156000000000006</v>
      </c>
      <c r="K326" s="30">
        <v>100.30800000000001</v>
      </c>
      <c r="L326" s="30">
        <v>98.29</v>
      </c>
      <c r="M326" s="30">
        <v>100.667</v>
      </c>
      <c r="N326" s="30">
        <v>98.724999999999994</v>
      </c>
      <c r="O326" s="30">
        <v>98.995000000000005</v>
      </c>
      <c r="P326" s="30">
        <v>99.515000000000001</v>
      </c>
      <c r="Q326" s="30">
        <v>98.227999999999994</v>
      </c>
      <c r="R326" s="30">
        <v>103.176</v>
      </c>
    </row>
    <row r="327" spans="1:18" x14ac:dyDescent="0.2">
      <c r="A327" s="13">
        <v>201412</v>
      </c>
      <c r="B327" s="6">
        <f t="shared" si="5"/>
        <v>2014</v>
      </c>
      <c r="C327" s="14">
        <v>41974</v>
      </c>
      <c r="D327" s="30">
        <v>99.912000000000006</v>
      </c>
      <c r="E327" s="30">
        <v>101.958</v>
      </c>
      <c r="F327" s="30">
        <v>98.543000000000006</v>
      </c>
      <c r="G327" s="30">
        <v>101.73</v>
      </c>
      <c r="H327" s="30">
        <v>99.373000000000005</v>
      </c>
      <c r="I327" s="30">
        <v>101.18</v>
      </c>
      <c r="J327" s="30">
        <v>98.323999999999998</v>
      </c>
      <c r="K327" s="30">
        <v>100.131</v>
      </c>
      <c r="L327" s="30">
        <v>98.881</v>
      </c>
      <c r="M327" s="30">
        <v>100.461</v>
      </c>
      <c r="N327" s="30">
        <v>98.724999999999994</v>
      </c>
      <c r="O327" s="30">
        <v>98.965000000000003</v>
      </c>
      <c r="P327" s="30">
        <v>99.427999999999997</v>
      </c>
      <c r="Q327" s="30">
        <v>98.341999999999999</v>
      </c>
      <c r="R327" s="30">
        <v>102.78</v>
      </c>
    </row>
    <row r="328" spans="1:18" x14ac:dyDescent="0.2">
      <c r="A328" s="13">
        <v>201501</v>
      </c>
      <c r="B328" s="6">
        <f t="shared" si="5"/>
        <v>2014</v>
      </c>
      <c r="C328" s="14">
        <v>42005</v>
      </c>
      <c r="D328" s="30">
        <v>99.241</v>
      </c>
      <c r="E328" s="30">
        <v>101.294</v>
      </c>
      <c r="F328" s="30">
        <v>99.891999999999996</v>
      </c>
      <c r="G328" s="30">
        <v>97.97</v>
      </c>
      <c r="H328" s="30">
        <v>99.447999999999993</v>
      </c>
      <c r="I328" s="30">
        <v>98.653000000000006</v>
      </c>
      <c r="J328" s="30">
        <v>98.97</v>
      </c>
      <c r="K328" s="30">
        <v>98.090999999999994</v>
      </c>
      <c r="L328" s="30">
        <v>98.881</v>
      </c>
      <c r="M328" s="30">
        <v>99.537999999999997</v>
      </c>
      <c r="N328" s="30">
        <v>98.724999999999994</v>
      </c>
      <c r="O328" s="30">
        <v>98.856999999999999</v>
      </c>
      <c r="P328" s="30">
        <v>99.355000000000004</v>
      </c>
      <c r="Q328" s="30">
        <v>98.456999999999994</v>
      </c>
      <c r="R328" s="30">
        <v>102.161</v>
      </c>
    </row>
    <row r="329" spans="1:18" x14ac:dyDescent="0.2">
      <c r="A329" s="13">
        <v>201502</v>
      </c>
      <c r="B329" s="6">
        <f t="shared" si="5"/>
        <v>2014</v>
      </c>
      <c r="C329" s="14">
        <v>42036</v>
      </c>
      <c r="D329" s="30">
        <v>99.463999999999999</v>
      </c>
      <c r="E329" s="30">
        <v>101.02500000000001</v>
      </c>
      <c r="F329" s="30">
        <v>99.460999999999999</v>
      </c>
      <c r="G329" s="30">
        <v>99.292000000000002</v>
      </c>
      <c r="H329" s="30">
        <v>99.498000000000005</v>
      </c>
      <c r="I329" s="30">
        <v>100.081</v>
      </c>
      <c r="J329" s="30">
        <v>99.09</v>
      </c>
      <c r="K329" s="30">
        <v>98.456999999999994</v>
      </c>
      <c r="L329" s="30">
        <v>99.745999999999995</v>
      </c>
      <c r="M329" s="30">
        <v>99.488</v>
      </c>
      <c r="N329" s="30">
        <v>98.724999999999994</v>
      </c>
      <c r="O329" s="30">
        <v>99.087000000000003</v>
      </c>
      <c r="P329" s="30">
        <v>99.605999999999995</v>
      </c>
      <c r="Q329" s="30">
        <v>98.552000000000007</v>
      </c>
      <c r="R329" s="30">
        <v>101.991</v>
      </c>
    </row>
    <row r="330" spans="1:18" x14ac:dyDescent="0.2">
      <c r="A330" s="13">
        <v>201503</v>
      </c>
      <c r="B330" s="6">
        <f t="shared" si="5"/>
        <v>2014</v>
      </c>
      <c r="C330" s="14">
        <v>42064</v>
      </c>
      <c r="D330" s="30">
        <v>99.64</v>
      </c>
      <c r="E330" s="30">
        <v>100.85</v>
      </c>
      <c r="F330" s="30">
        <v>99.34</v>
      </c>
      <c r="G330" s="30">
        <v>99.230999999999995</v>
      </c>
      <c r="H330" s="30">
        <v>99.43</v>
      </c>
      <c r="I330" s="30">
        <v>100.527</v>
      </c>
      <c r="J330" s="30">
        <v>99.545000000000002</v>
      </c>
      <c r="K330" s="30">
        <v>99.212999999999994</v>
      </c>
      <c r="L330" s="30">
        <v>99.965000000000003</v>
      </c>
      <c r="M330" s="30">
        <v>99.924000000000007</v>
      </c>
      <c r="N330" s="30">
        <v>98.724999999999994</v>
      </c>
      <c r="O330" s="30">
        <v>99.32</v>
      </c>
      <c r="P330" s="30">
        <v>99.837999999999994</v>
      </c>
      <c r="Q330" s="30">
        <v>98.667000000000002</v>
      </c>
      <c r="R330" s="30">
        <v>100.65</v>
      </c>
    </row>
    <row r="331" spans="1:18" x14ac:dyDescent="0.2">
      <c r="A331" s="13">
        <v>201504</v>
      </c>
      <c r="B331" s="6">
        <f t="shared" si="5"/>
        <v>2015</v>
      </c>
      <c r="C331" s="14">
        <v>42095</v>
      </c>
      <c r="D331" s="30">
        <v>99.897000000000006</v>
      </c>
      <c r="E331" s="30">
        <v>100.48399999999999</v>
      </c>
      <c r="F331" s="30">
        <v>99.795000000000002</v>
      </c>
      <c r="G331" s="30">
        <v>99.945999999999998</v>
      </c>
      <c r="H331" s="30">
        <v>99.742000000000004</v>
      </c>
      <c r="I331" s="30">
        <v>99.304000000000002</v>
      </c>
      <c r="J331" s="30">
        <v>100.193</v>
      </c>
      <c r="K331" s="30">
        <v>100.33199999999999</v>
      </c>
      <c r="L331" s="30">
        <v>99.912999999999997</v>
      </c>
      <c r="M331" s="30">
        <v>100.113</v>
      </c>
      <c r="N331" s="30">
        <v>98.724999999999994</v>
      </c>
      <c r="O331" s="30">
        <v>99.57</v>
      </c>
      <c r="P331" s="30">
        <v>99.831999999999994</v>
      </c>
      <c r="Q331" s="30">
        <v>99.506</v>
      </c>
      <c r="R331" s="30">
        <v>100.533</v>
      </c>
    </row>
    <row r="332" spans="1:18" x14ac:dyDescent="0.2">
      <c r="A332" s="13">
        <v>201505</v>
      </c>
      <c r="B332" s="6">
        <f t="shared" si="5"/>
        <v>2015</v>
      </c>
      <c r="C332" s="14">
        <v>42125</v>
      </c>
      <c r="D332" s="30">
        <v>100.063</v>
      </c>
      <c r="E332" s="30">
        <v>100.428</v>
      </c>
      <c r="F332" s="30">
        <v>100.515</v>
      </c>
      <c r="G332" s="30">
        <v>100.485</v>
      </c>
      <c r="H332" s="30">
        <v>99.834000000000003</v>
      </c>
      <c r="I332" s="30">
        <v>99.873000000000005</v>
      </c>
      <c r="J332" s="30">
        <v>100.521</v>
      </c>
      <c r="K332" s="30">
        <v>100.93600000000001</v>
      </c>
      <c r="L332" s="30">
        <v>99.659000000000006</v>
      </c>
      <c r="M332" s="30">
        <v>99.972999999999999</v>
      </c>
      <c r="N332" s="30">
        <v>98.724999999999994</v>
      </c>
      <c r="O332" s="30">
        <v>99.769000000000005</v>
      </c>
      <c r="P332" s="30">
        <v>99.62</v>
      </c>
      <c r="Q332" s="30">
        <v>99.703000000000003</v>
      </c>
      <c r="R332" s="30">
        <v>100.212</v>
      </c>
    </row>
    <row r="333" spans="1:18" x14ac:dyDescent="0.2">
      <c r="A333" s="13">
        <v>201506</v>
      </c>
      <c r="B333" s="6">
        <f t="shared" si="5"/>
        <v>2015</v>
      </c>
      <c r="C333" s="14">
        <v>42156</v>
      </c>
      <c r="D333" s="30">
        <v>100.121</v>
      </c>
      <c r="E333" s="30">
        <v>100.148</v>
      </c>
      <c r="F333" s="30">
        <v>100.66500000000001</v>
      </c>
      <c r="G333" s="30">
        <v>100.068</v>
      </c>
      <c r="H333" s="30">
        <v>99.924999999999997</v>
      </c>
      <c r="I333" s="30">
        <v>100.227</v>
      </c>
      <c r="J333" s="30">
        <v>99.863</v>
      </c>
      <c r="K333" s="30">
        <v>101.166</v>
      </c>
      <c r="L333" s="30">
        <v>99.44</v>
      </c>
      <c r="M333" s="30">
        <v>99.909000000000006</v>
      </c>
      <c r="N333" s="30">
        <v>98.724999999999994</v>
      </c>
      <c r="O333" s="30">
        <v>100.2</v>
      </c>
      <c r="P333" s="30">
        <v>99.808000000000007</v>
      </c>
      <c r="Q333" s="30">
        <v>99.805000000000007</v>
      </c>
      <c r="R333" s="30">
        <v>100.114</v>
      </c>
    </row>
    <row r="334" spans="1:18" x14ac:dyDescent="0.2">
      <c r="A334" s="13">
        <v>201507</v>
      </c>
      <c r="B334" s="6">
        <f t="shared" si="5"/>
        <v>2015</v>
      </c>
      <c r="C334" s="14">
        <v>42186</v>
      </c>
      <c r="D334" s="30">
        <v>100.026</v>
      </c>
      <c r="E334" s="30">
        <v>99.453000000000003</v>
      </c>
      <c r="F334" s="30">
        <v>99.637</v>
      </c>
      <c r="G334" s="30">
        <v>96.716999999999999</v>
      </c>
      <c r="H334" s="30">
        <v>100.092</v>
      </c>
      <c r="I334" s="30">
        <v>98.727000000000004</v>
      </c>
      <c r="J334" s="30">
        <v>100.79300000000001</v>
      </c>
      <c r="K334" s="30">
        <v>102.408</v>
      </c>
      <c r="L334" s="30">
        <v>99.731999999999999</v>
      </c>
      <c r="M334" s="30">
        <v>100.086</v>
      </c>
      <c r="N334" s="30">
        <v>98.724999999999994</v>
      </c>
      <c r="O334" s="30">
        <v>100.304</v>
      </c>
      <c r="P334" s="30">
        <v>99.852000000000004</v>
      </c>
      <c r="Q334" s="30">
        <v>100.355</v>
      </c>
      <c r="R334" s="30">
        <v>99.984999999999999</v>
      </c>
    </row>
    <row r="335" spans="1:18" x14ac:dyDescent="0.2">
      <c r="A335" s="13">
        <v>201508</v>
      </c>
      <c r="B335" s="6">
        <f t="shared" si="5"/>
        <v>2015</v>
      </c>
      <c r="C335" s="14">
        <v>42217</v>
      </c>
      <c r="D335" s="30">
        <v>100.265</v>
      </c>
      <c r="E335" s="30">
        <v>99.480999999999995</v>
      </c>
      <c r="F335" s="30">
        <v>100.696</v>
      </c>
      <c r="G335" s="30">
        <v>98.183000000000007</v>
      </c>
      <c r="H335" s="30">
        <v>100.22799999999999</v>
      </c>
      <c r="I335" s="30">
        <v>100.417</v>
      </c>
      <c r="J335" s="30">
        <v>100.66800000000001</v>
      </c>
      <c r="K335" s="30">
        <v>102.557</v>
      </c>
      <c r="L335" s="30">
        <v>99.507000000000005</v>
      </c>
      <c r="M335" s="30">
        <v>99.736000000000004</v>
      </c>
      <c r="N335" s="30">
        <v>98.724999999999994</v>
      </c>
      <c r="O335" s="30">
        <v>100.29900000000001</v>
      </c>
      <c r="P335" s="30">
        <v>100.244</v>
      </c>
      <c r="Q335" s="30">
        <v>100.604</v>
      </c>
      <c r="R335" s="30">
        <v>99.662000000000006</v>
      </c>
    </row>
    <row r="336" spans="1:18" x14ac:dyDescent="0.2">
      <c r="A336" s="13">
        <v>201509</v>
      </c>
      <c r="B336" s="6">
        <f t="shared" si="5"/>
        <v>2015</v>
      </c>
      <c r="C336" s="14">
        <v>42248</v>
      </c>
      <c r="D336" s="30">
        <v>100.197</v>
      </c>
      <c r="E336" s="30">
        <v>99.537000000000006</v>
      </c>
      <c r="F336" s="30">
        <v>100.717</v>
      </c>
      <c r="G336" s="30">
        <v>100.925</v>
      </c>
      <c r="H336" s="30">
        <v>100.239</v>
      </c>
      <c r="I336" s="30">
        <v>101.151</v>
      </c>
      <c r="J336" s="30">
        <v>100.70099999999999</v>
      </c>
      <c r="K336" s="30">
        <v>99.884</v>
      </c>
      <c r="L336" s="30">
        <v>99.918999999999997</v>
      </c>
      <c r="M336" s="30">
        <v>99.757999999999996</v>
      </c>
      <c r="N336" s="30">
        <v>99.872</v>
      </c>
      <c r="O336" s="30">
        <v>100.482</v>
      </c>
      <c r="P336" s="30">
        <v>100.279</v>
      </c>
      <c r="Q336" s="30">
        <v>100.81</v>
      </c>
      <c r="R336" s="30">
        <v>98.733000000000004</v>
      </c>
    </row>
    <row r="337" spans="1:18" x14ac:dyDescent="0.2">
      <c r="A337" s="13">
        <v>201510</v>
      </c>
      <c r="B337" s="6">
        <f t="shared" si="5"/>
        <v>2015</v>
      </c>
      <c r="C337" s="14">
        <v>42278</v>
      </c>
      <c r="D337" s="30">
        <v>100.325</v>
      </c>
      <c r="E337" s="30">
        <v>99.126000000000005</v>
      </c>
      <c r="F337" s="30">
        <v>100.292</v>
      </c>
      <c r="G337" s="30">
        <v>102.923</v>
      </c>
      <c r="H337" s="30">
        <v>100.379</v>
      </c>
      <c r="I337" s="30">
        <v>100.10899999999999</v>
      </c>
      <c r="J337" s="30">
        <v>100.032</v>
      </c>
      <c r="K337" s="30">
        <v>98.825000000000003</v>
      </c>
      <c r="L337" s="30">
        <v>100.55</v>
      </c>
      <c r="M337" s="30">
        <v>100.601</v>
      </c>
      <c r="N337" s="30">
        <v>103.441</v>
      </c>
      <c r="O337" s="30">
        <v>100.623</v>
      </c>
      <c r="P337" s="30">
        <v>100.389</v>
      </c>
      <c r="Q337" s="30">
        <v>101.057</v>
      </c>
      <c r="R337" s="30">
        <v>98.775000000000006</v>
      </c>
    </row>
    <row r="338" spans="1:18" x14ac:dyDescent="0.2">
      <c r="A338" s="13">
        <v>201511</v>
      </c>
      <c r="B338" s="6">
        <f t="shared" si="5"/>
        <v>2015</v>
      </c>
      <c r="C338" s="14">
        <v>42309</v>
      </c>
      <c r="D338" s="30">
        <v>100.333</v>
      </c>
      <c r="E338" s="30">
        <v>99.204999999999998</v>
      </c>
      <c r="F338" s="30">
        <v>100.142</v>
      </c>
      <c r="G338" s="30">
        <v>102.803</v>
      </c>
      <c r="H338" s="30">
        <v>100.55</v>
      </c>
      <c r="I338" s="30">
        <v>99.933000000000007</v>
      </c>
      <c r="J338" s="30">
        <v>99.82</v>
      </c>
      <c r="K338" s="30">
        <v>98.164000000000001</v>
      </c>
      <c r="L338" s="30">
        <v>101.148</v>
      </c>
      <c r="M338" s="30">
        <v>100.586</v>
      </c>
      <c r="N338" s="30">
        <v>103.441</v>
      </c>
      <c r="O338" s="30">
        <v>100.824</v>
      </c>
      <c r="P338" s="30">
        <v>100.699</v>
      </c>
      <c r="Q338" s="30">
        <v>101.208</v>
      </c>
      <c r="R338" s="30">
        <v>98.69</v>
      </c>
    </row>
    <row r="339" spans="1:18" x14ac:dyDescent="0.2">
      <c r="A339" s="13">
        <v>201512</v>
      </c>
      <c r="B339" s="6">
        <f t="shared" si="5"/>
        <v>2015</v>
      </c>
      <c r="C339" s="14">
        <v>42339</v>
      </c>
      <c r="D339" s="30">
        <v>100.429</v>
      </c>
      <c r="E339" s="30">
        <v>98.968000000000004</v>
      </c>
      <c r="F339" s="30">
        <v>98.849000000000004</v>
      </c>
      <c r="G339" s="30">
        <v>101.458</v>
      </c>
      <c r="H339" s="30">
        <v>100.633</v>
      </c>
      <c r="I339" s="30">
        <v>100.998</v>
      </c>
      <c r="J339" s="30">
        <v>99.805000000000007</v>
      </c>
      <c r="K339" s="30">
        <v>99.966999999999999</v>
      </c>
      <c r="L339" s="30">
        <v>101.54</v>
      </c>
      <c r="M339" s="30">
        <v>100.288</v>
      </c>
      <c r="N339" s="30">
        <v>103.441</v>
      </c>
      <c r="O339" s="30">
        <v>100.66500000000001</v>
      </c>
      <c r="P339" s="30">
        <v>100.47799999999999</v>
      </c>
      <c r="Q339" s="30">
        <v>101.277</v>
      </c>
      <c r="R339" s="30">
        <v>98.492999999999995</v>
      </c>
    </row>
    <row r="340" spans="1:18" x14ac:dyDescent="0.2">
      <c r="A340" s="13">
        <v>201601</v>
      </c>
      <c r="B340" s="6">
        <f t="shared" si="5"/>
        <v>2015</v>
      </c>
      <c r="C340" s="14">
        <v>42370</v>
      </c>
      <c r="D340" s="31">
        <v>99.861999999999995</v>
      </c>
      <c r="E340" s="31">
        <v>98.667000000000002</v>
      </c>
      <c r="F340" s="31">
        <v>101.154</v>
      </c>
      <c r="G340" s="31">
        <v>98.332999999999998</v>
      </c>
      <c r="H340" s="31">
        <v>100.77500000000001</v>
      </c>
      <c r="I340" s="31">
        <v>98.641000000000005</v>
      </c>
      <c r="J340" s="31">
        <v>101.181</v>
      </c>
      <c r="K340" s="31">
        <v>97.582999999999998</v>
      </c>
      <c r="L340" s="31">
        <v>101.068</v>
      </c>
      <c r="M340" s="31">
        <v>99.53</v>
      </c>
      <c r="N340" s="31">
        <v>103.441</v>
      </c>
      <c r="O340" s="31">
        <v>100.425</v>
      </c>
      <c r="P340" s="31">
        <v>100.729</v>
      </c>
      <c r="Q340" s="31">
        <v>101.355</v>
      </c>
      <c r="R340" s="31">
        <v>98.174000000000007</v>
      </c>
    </row>
    <row r="341" spans="1:18" x14ac:dyDescent="0.2">
      <c r="A341" s="13">
        <v>201602</v>
      </c>
      <c r="B341" s="6">
        <f t="shared" si="5"/>
        <v>2015</v>
      </c>
      <c r="C341" s="14">
        <v>42401</v>
      </c>
      <c r="D341" s="31">
        <v>100.07899999999999</v>
      </c>
      <c r="E341" s="31">
        <v>98.766999999999996</v>
      </c>
      <c r="F341" s="31">
        <v>100.59</v>
      </c>
      <c r="G341" s="31">
        <v>99.594999999999999</v>
      </c>
      <c r="H341" s="31">
        <v>100.82899999999999</v>
      </c>
      <c r="I341" s="31">
        <v>100.3</v>
      </c>
      <c r="J341" s="31">
        <v>101.181</v>
      </c>
      <c r="K341" s="31">
        <v>97.548000000000002</v>
      </c>
      <c r="L341" s="31">
        <v>101.851</v>
      </c>
      <c r="M341" s="31">
        <v>99.436000000000007</v>
      </c>
      <c r="N341" s="31">
        <v>103.441</v>
      </c>
      <c r="O341" s="31">
        <v>100.931</v>
      </c>
      <c r="P341" s="31">
        <v>100.748</v>
      </c>
      <c r="Q341" s="31">
        <v>101.44199999999999</v>
      </c>
      <c r="R341" s="31">
        <v>97.728999999999999</v>
      </c>
    </row>
    <row r="342" spans="1:18" x14ac:dyDescent="0.2">
      <c r="A342" s="13">
        <v>201603</v>
      </c>
      <c r="B342" s="6">
        <f t="shared" si="5"/>
        <v>2015</v>
      </c>
      <c r="C342" s="14">
        <v>42430</v>
      </c>
      <c r="D342" s="31">
        <v>100.389</v>
      </c>
      <c r="E342" s="31">
        <v>98.054000000000002</v>
      </c>
      <c r="F342" s="31">
        <v>100.289</v>
      </c>
      <c r="G342" s="31">
        <v>100.613</v>
      </c>
      <c r="H342" s="31">
        <v>100.858</v>
      </c>
      <c r="I342" s="31">
        <v>101.02200000000001</v>
      </c>
      <c r="J342" s="31">
        <v>101.383</v>
      </c>
      <c r="K342" s="31">
        <v>99.087000000000003</v>
      </c>
      <c r="L342" s="31">
        <v>101.387</v>
      </c>
      <c r="M342" s="31">
        <v>99.793999999999997</v>
      </c>
      <c r="N342" s="31">
        <v>103.441</v>
      </c>
      <c r="O342" s="31">
        <v>101.44499999999999</v>
      </c>
      <c r="P342" s="31">
        <v>100.718</v>
      </c>
      <c r="Q342" s="31">
        <v>101.54600000000001</v>
      </c>
      <c r="R342" s="31">
        <v>96.882999999999996</v>
      </c>
    </row>
    <row r="343" spans="1:18" x14ac:dyDescent="0.2">
      <c r="A343" s="13">
        <v>201604</v>
      </c>
      <c r="B343" s="6">
        <f t="shared" si="5"/>
        <v>2016</v>
      </c>
      <c r="C343" s="14">
        <v>42461</v>
      </c>
      <c r="D343" s="31">
        <v>100.58199999999999</v>
      </c>
      <c r="E343" s="31">
        <v>97.971000000000004</v>
      </c>
      <c r="F343" s="31">
        <v>101.111</v>
      </c>
      <c r="G343" s="31">
        <v>100.28100000000001</v>
      </c>
      <c r="H343" s="31">
        <v>101.246</v>
      </c>
      <c r="I343" s="31">
        <v>99.510999999999996</v>
      </c>
      <c r="J343" s="31">
        <v>102.279</v>
      </c>
      <c r="K343" s="31">
        <v>99.007999999999996</v>
      </c>
      <c r="L343" s="31">
        <v>101.595</v>
      </c>
      <c r="M343" s="31">
        <v>100.607</v>
      </c>
      <c r="N343" s="31">
        <v>103.441</v>
      </c>
      <c r="O343" s="31">
        <v>101.867</v>
      </c>
      <c r="P343" s="31">
        <v>100.73399999999999</v>
      </c>
      <c r="Q343" s="31">
        <v>101.379</v>
      </c>
      <c r="R343" s="31">
        <v>96.323999999999998</v>
      </c>
    </row>
    <row r="344" spans="1:18" x14ac:dyDescent="0.2">
      <c r="A344" s="13">
        <v>201605</v>
      </c>
      <c r="B344" s="6">
        <f t="shared" si="5"/>
        <v>2016</v>
      </c>
      <c r="C344" s="14">
        <v>42491</v>
      </c>
      <c r="D344" s="31">
        <v>100.77200000000001</v>
      </c>
      <c r="E344" s="31">
        <v>97.581999999999994</v>
      </c>
      <c r="F344" s="31">
        <v>101.505</v>
      </c>
      <c r="G344" s="31">
        <v>100.07</v>
      </c>
      <c r="H344" s="31">
        <v>101.437</v>
      </c>
      <c r="I344" s="31">
        <v>99.956000000000003</v>
      </c>
      <c r="J344" s="31">
        <v>102.517</v>
      </c>
      <c r="K344" s="31">
        <v>99.878</v>
      </c>
      <c r="L344" s="31">
        <v>102.51600000000001</v>
      </c>
      <c r="M344" s="31">
        <v>100.188</v>
      </c>
      <c r="N344" s="31">
        <v>103.441</v>
      </c>
      <c r="O344" s="31">
        <v>102.383</v>
      </c>
      <c r="P344" s="31">
        <v>100.83199999999999</v>
      </c>
      <c r="Q344" s="31">
        <v>101.502</v>
      </c>
      <c r="R344" s="31">
        <v>96.512</v>
      </c>
    </row>
    <row r="345" spans="1:18" x14ac:dyDescent="0.2">
      <c r="A345" s="13">
        <v>201606</v>
      </c>
      <c r="B345" s="6">
        <f t="shared" si="5"/>
        <v>2016</v>
      </c>
      <c r="C345" s="14">
        <v>42522</v>
      </c>
      <c r="D345" s="31">
        <v>100.95099999999999</v>
      </c>
      <c r="E345" s="31">
        <v>97.171999999999997</v>
      </c>
      <c r="F345" s="31">
        <v>101.15900000000001</v>
      </c>
      <c r="G345" s="31">
        <v>99.417000000000002</v>
      </c>
      <c r="H345" s="31">
        <v>101.572</v>
      </c>
      <c r="I345" s="31">
        <v>99.617999999999995</v>
      </c>
      <c r="J345" s="31">
        <v>102.65</v>
      </c>
      <c r="K345" s="31">
        <v>100.904</v>
      </c>
      <c r="L345" s="31">
        <v>103.13</v>
      </c>
      <c r="M345" s="31">
        <v>100.833</v>
      </c>
      <c r="N345" s="31">
        <v>103.441</v>
      </c>
      <c r="O345" s="31">
        <v>102.54</v>
      </c>
      <c r="P345" s="31">
        <v>100.872</v>
      </c>
      <c r="Q345" s="31">
        <v>101.64</v>
      </c>
      <c r="R345" s="31">
        <v>96.801000000000002</v>
      </c>
    </row>
    <row r="346" spans="1:18" x14ac:dyDescent="0.2">
      <c r="A346" s="13">
        <v>201607</v>
      </c>
      <c r="B346" s="6">
        <f t="shared" si="5"/>
        <v>2016</v>
      </c>
      <c r="C346" s="14">
        <v>42552</v>
      </c>
      <c r="D346" s="31">
        <v>100.928</v>
      </c>
      <c r="E346" s="31">
        <v>96.9</v>
      </c>
      <c r="F346" s="31">
        <v>101.449</v>
      </c>
      <c r="G346" s="31">
        <v>96.057000000000002</v>
      </c>
      <c r="H346" s="31">
        <v>101.715</v>
      </c>
      <c r="I346" s="31">
        <v>97.966999999999999</v>
      </c>
      <c r="J346" s="31">
        <v>102.661</v>
      </c>
      <c r="K346" s="31">
        <v>102.46599999999999</v>
      </c>
      <c r="L346" s="31">
        <v>103.426</v>
      </c>
      <c r="M346" s="31">
        <v>100.749</v>
      </c>
      <c r="N346" s="31">
        <v>103.441</v>
      </c>
      <c r="O346" s="31">
        <v>102.988</v>
      </c>
      <c r="P346" s="31">
        <v>100.764</v>
      </c>
      <c r="Q346" s="31">
        <v>101.69799999999999</v>
      </c>
      <c r="R346" s="31">
        <v>96.781999999999996</v>
      </c>
    </row>
    <row r="347" spans="1:18" x14ac:dyDescent="0.2">
      <c r="A347" s="13">
        <v>201608</v>
      </c>
      <c r="B347" s="6">
        <f t="shared" si="5"/>
        <v>2016</v>
      </c>
      <c r="C347" s="14">
        <v>42583</v>
      </c>
      <c r="D347" s="31">
        <v>101.223</v>
      </c>
      <c r="E347" s="31">
        <v>97.316000000000003</v>
      </c>
      <c r="F347" s="31">
        <v>102.145</v>
      </c>
      <c r="G347" s="31">
        <v>96.99</v>
      </c>
      <c r="H347" s="31">
        <v>101.88</v>
      </c>
      <c r="I347" s="31">
        <v>99.328000000000003</v>
      </c>
      <c r="J347" s="31">
        <v>102.789</v>
      </c>
      <c r="K347" s="31">
        <v>103.289</v>
      </c>
      <c r="L347" s="31">
        <v>103.65900000000001</v>
      </c>
      <c r="M347" s="31">
        <v>100.482</v>
      </c>
      <c r="N347" s="31">
        <v>103.441</v>
      </c>
      <c r="O347" s="31">
        <v>102.633</v>
      </c>
      <c r="P347" s="31">
        <v>101.048</v>
      </c>
      <c r="Q347" s="31">
        <v>101.911</v>
      </c>
      <c r="R347" s="31">
        <v>96.700999999999993</v>
      </c>
    </row>
    <row r="348" spans="1:18" x14ac:dyDescent="0.2">
      <c r="A348" s="13">
        <v>201609</v>
      </c>
      <c r="B348" s="6">
        <f t="shared" si="5"/>
        <v>2016</v>
      </c>
      <c r="C348" s="14">
        <v>42614</v>
      </c>
      <c r="D348" s="31">
        <v>101.461</v>
      </c>
      <c r="E348" s="31">
        <v>97.212000000000003</v>
      </c>
      <c r="F348" s="31">
        <v>102.491</v>
      </c>
      <c r="G348" s="31">
        <v>101.979</v>
      </c>
      <c r="H348" s="31">
        <v>102.002</v>
      </c>
      <c r="I348" s="31">
        <v>99.721000000000004</v>
      </c>
      <c r="J348" s="31">
        <v>103.05500000000001</v>
      </c>
      <c r="K348" s="31">
        <v>101.075</v>
      </c>
      <c r="L348" s="31">
        <v>103.562</v>
      </c>
      <c r="M348" s="31">
        <v>100.56</v>
      </c>
      <c r="N348" s="31">
        <v>105.745</v>
      </c>
      <c r="O348" s="31">
        <v>103.378</v>
      </c>
      <c r="P348" s="31">
        <v>101.482</v>
      </c>
      <c r="Q348" s="31">
        <v>102.014</v>
      </c>
      <c r="R348" s="31">
        <v>96.915000000000006</v>
      </c>
    </row>
    <row r="349" spans="1:18" x14ac:dyDescent="0.2">
      <c r="A349" s="13">
        <v>201610</v>
      </c>
      <c r="B349" s="6">
        <f t="shared" si="5"/>
        <v>2016</v>
      </c>
      <c r="C349" s="14">
        <v>42644</v>
      </c>
      <c r="D349" s="31">
        <v>101.589</v>
      </c>
      <c r="E349" s="31">
        <v>96.721999999999994</v>
      </c>
      <c r="F349" s="31">
        <v>102.41800000000001</v>
      </c>
      <c r="G349" s="31">
        <v>102.248</v>
      </c>
      <c r="H349" s="31">
        <v>102.303</v>
      </c>
      <c r="I349" s="31">
        <v>100.233</v>
      </c>
      <c r="J349" s="31">
        <v>102.003</v>
      </c>
      <c r="K349" s="31">
        <v>101.108</v>
      </c>
      <c r="L349" s="31">
        <v>103.70399999999999</v>
      </c>
      <c r="M349" s="31">
        <v>100.78400000000001</v>
      </c>
      <c r="N349" s="31">
        <v>107.857</v>
      </c>
      <c r="O349" s="31">
        <v>103.244</v>
      </c>
      <c r="P349" s="31">
        <v>101.51900000000001</v>
      </c>
      <c r="Q349" s="31">
        <v>102.092</v>
      </c>
      <c r="R349" s="31">
        <v>97.584999999999994</v>
      </c>
    </row>
    <row r="350" spans="1:18" x14ac:dyDescent="0.2">
      <c r="A350" s="13">
        <v>201611</v>
      </c>
      <c r="B350" s="6">
        <f t="shared" si="5"/>
        <v>2016</v>
      </c>
      <c r="C350" s="14">
        <v>42675</v>
      </c>
      <c r="D350" s="31">
        <v>101.795</v>
      </c>
      <c r="E350" s="31">
        <v>97.087999999999994</v>
      </c>
      <c r="F350" s="31">
        <v>101.875</v>
      </c>
      <c r="G350" s="31">
        <v>103.724</v>
      </c>
      <c r="H350" s="31">
        <v>102.39700000000001</v>
      </c>
      <c r="I350" s="31">
        <v>100.751</v>
      </c>
      <c r="J350" s="31">
        <v>102.087</v>
      </c>
      <c r="K350" s="31">
        <v>100.773</v>
      </c>
      <c r="L350" s="31">
        <v>103.81399999999999</v>
      </c>
      <c r="M350" s="31">
        <v>101.254</v>
      </c>
      <c r="N350" s="31">
        <v>107.857</v>
      </c>
      <c r="O350" s="31">
        <v>103.44499999999999</v>
      </c>
      <c r="P350" s="31">
        <v>101.72</v>
      </c>
      <c r="Q350" s="31">
        <v>102.194</v>
      </c>
      <c r="R350" s="31">
        <v>97.408000000000001</v>
      </c>
    </row>
    <row r="351" spans="1:18" x14ac:dyDescent="0.2">
      <c r="A351" s="13">
        <v>201612</v>
      </c>
      <c r="B351" s="6">
        <f t="shared" si="5"/>
        <v>2016</v>
      </c>
      <c r="C351" s="14">
        <v>42705</v>
      </c>
      <c r="D351" s="31">
        <v>102.203</v>
      </c>
      <c r="E351" s="31">
        <v>97.869</v>
      </c>
      <c r="F351" s="31">
        <v>101.319</v>
      </c>
      <c r="G351" s="31">
        <v>102.69799999999999</v>
      </c>
      <c r="H351" s="31">
        <v>102.58499999999999</v>
      </c>
      <c r="I351" s="31">
        <v>101.622</v>
      </c>
      <c r="J351" s="31">
        <v>102.251</v>
      </c>
      <c r="K351" s="31">
        <v>103.584</v>
      </c>
      <c r="L351" s="31">
        <v>103.283</v>
      </c>
      <c r="M351" s="31">
        <v>101.21299999999999</v>
      </c>
      <c r="N351" s="31">
        <v>107.857</v>
      </c>
      <c r="O351" s="31">
        <v>103.5</v>
      </c>
      <c r="P351" s="31">
        <v>101.48</v>
      </c>
      <c r="Q351" s="31">
        <v>102.301</v>
      </c>
      <c r="R351" s="31">
        <v>97.843000000000004</v>
      </c>
    </row>
    <row r="352" spans="1:18" x14ac:dyDescent="0.2">
      <c r="A352" s="13">
        <v>201701</v>
      </c>
      <c r="B352" s="6">
        <f t="shared" si="5"/>
        <v>2016</v>
      </c>
      <c r="C352" s="14">
        <v>42736</v>
      </c>
      <c r="D352" s="31">
        <v>101.792</v>
      </c>
      <c r="E352" s="31">
        <v>98.156999999999996</v>
      </c>
      <c r="F352" s="31">
        <v>103.664</v>
      </c>
      <c r="G352" s="31">
        <v>98.361999999999995</v>
      </c>
      <c r="H352" s="31">
        <v>102.76300000000001</v>
      </c>
      <c r="I352" s="31">
        <v>99.052000000000007</v>
      </c>
      <c r="J352" s="31">
        <v>103.136</v>
      </c>
      <c r="K352" s="31">
        <v>102.79600000000001</v>
      </c>
      <c r="L352" s="31">
        <v>103.163</v>
      </c>
      <c r="M352" s="31">
        <v>100.477</v>
      </c>
      <c r="N352" s="31">
        <v>107.857</v>
      </c>
      <c r="O352" s="31">
        <v>103.398</v>
      </c>
      <c r="P352" s="31">
        <v>101.57299999999999</v>
      </c>
      <c r="Q352" s="31">
        <v>102.62</v>
      </c>
      <c r="R352" s="31">
        <v>97.861000000000004</v>
      </c>
    </row>
    <row r="353" spans="1:18" x14ac:dyDescent="0.2">
      <c r="A353" s="13">
        <v>201702</v>
      </c>
      <c r="B353" s="6">
        <f t="shared" si="5"/>
        <v>2016</v>
      </c>
      <c r="C353" s="14">
        <v>42767</v>
      </c>
      <c r="D353" s="31">
        <v>102.40600000000001</v>
      </c>
      <c r="E353" s="31">
        <v>98.951999999999998</v>
      </c>
      <c r="F353" s="31">
        <v>103.47199999999999</v>
      </c>
      <c r="G353" s="31">
        <v>99.546000000000006</v>
      </c>
      <c r="H353" s="31">
        <v>102.843</v>
      </c>
      <c r="I353" s="31">
        <v>101.41500000000001</v>
      </c>
      <c r="J353" s="31">
        <v>103.48399999999999</v>
      </c>
      <c r="K353" s="31">
        <v>103.977</v>
      </c>
      <c r="L353" s="31">
        <v>104.13200000000001</v>
      </c>
      <c r="M353" s="31">
        <v>101.03</v>
      </c>
      <c r="N353" s="31">
        <v>107.857</v>
      </c>
      <c r="O353" s="31">
        <v>104.14400000000001</v>
      </c>
      <c r="P353" s="31">
        <v>101.869</v>
      </c>
      <c r="Q353" s="31">
        <v>102.685</v>
      </c>
      <c r="R353" s="31">
        <v>97.820999999999998</v>
      </c>
    </row>
    <row r="354" spans="1:18" x14ac:dyDescent="0.2">
      <c r="A354" s="13">
        <v>201703</v>
      </c>
      <c r="B354" s="6">
        <f t="shared" si="5"/>
        <v>2016</v>
      </c>
      <c r="C354" s="14">
        <v>42795</v>
      </c>
      <c r="D354" s="31">
        <v>102.732</v>
      </c>
      <c r="E354" s="31">
        <v>99.301000000000002</v>
      </c>
      <c r="F354" s="31">
        <v>105.24299999999999</v>
      </c>
      <c r="G354" s="31">
        <v>101.57599999999999</v>
      </c>
      <c r="H354" s="31">
        <v>102.923</v>
      </c>
      <c r="I354" s="31">
        <v>102.134</v>
      </c>
      <c r="J354" s="31">
        <v>103.52200000000001</v>
      </c>
      <c r="K354" s="31">
        <v>103.462</v>
      </c>
      <c r="L354" s="31">
        <v>104.259</v>
      </c>
      <c r="M354" s="31">
        <v>101.377</v>
      </c>
      <c r="N354" s="31">
        <v>107.857</v>
      </c>
      <c r="O354" s="31">
        <v>104.401</v>
      </c>
      <c r="P354" s="31">
        <v>102.512</v>
      </c>
      <c r="Q354" s="31">
        <v>102.72</v>
      </c>
      <c r="R354" s="31">
        <v>98.099000000000004</v>
      </c>
    </row>
    <row r="355" spans="1:18" x14ac:dyDescent="0.2">
      <c r="A355" s="13">
        <v>201704</v>
      </c>
      <c r="B355" s="6">
        <f t="shared" si="5"/>
        <v>2017</v>
      </c>
      <c r="C355" s="14">
        <v>42826</v>
      </c>
      <c r="D355" s="29">
        <v>103.226</v>
      </c>
      <c r="E355" s="29">
        <v>99.504000000000005</v>
      </c>
      <c r="F355" s="29">
        <v>105.61</v>
      </c>
      <c r="G355" s="29">
        <v>102.70099999999999</v>
      </c>
      <c r="H355" s="29">
        <v>103.44199999999999</v>
      </c>
      <c r="I355" s="29">
        <v>101.15300000000001</v>
      </c>
      <c r="J355" s="29">
        <v>104.509</v>
      </c>
      <c r="K355" s="29">
        <v>105.1</v>
      </c>
      <c r="L355" s="29">
        <v>103.334</v>
      </c>
      <c r="M355" s="29">
        <v>101.648</v>
      </c>
      <c r="N355" s="29">
        <v>107.857</v>
      </c>
      <c r="O355" s="29">
        <v>105.018</v>
      </c>
      <c r="P355" s="29">
        <v>102.447</v>
      </c>
      <c r="Q355" s="29">
        <v>102.56</v>
      </c>
      <c r="R355" s="29">
        <v>99.064999999999998</v>
      </c>
    </row>
    <row r="356" spans="1:18" x14ac:dyDescent="0.2">
      <c r="A356" s="13">
        <v>201705</v>
      </c>
      <c r="B356" s="6">
        <f t="shared" si="5"/>
        <v>2017</v>
      </c>
      <c r="C356" s="14">
        <v>42856</v>
      </c>
      <c r="D356" s="29">
        <v>103.533</v>
      </c>
      <c r="E356" s="29">
        <v>99.649000000000001</v>
      </c>
      <c r="F356" s="29">
        <v>106.477</v>
      </c>
      <c r="G356" s="29">
        <v>103.19199999999999</v>
      </c>
      <c r="H356" s="29">
        <v>103.718</v>
      </c>
      <c r="I356" s="29">
        <v>102.333</v>
      </c>
      <c r="J356" s="29">
        <v>104.849</v>
      </c>
      <c r="K356" s="29">
        <v>104.32899999999999</v>
      </c>
      <c r="L356" s="29">
        <v>103.95699999999999</v>
      </c>
      <c r="M356" s="29">
        <v>102.538</v>
      </c>
      <c r="N356" s="29">
        <v>107.857</v>
      </c>
      <c r="O356" s="29">
        <v>105.57899999999999</v>
      </c>
      <c r="P356" s="29">
        <v>102.55500000000001</v>
      </c>
      <c r="Q356" s="29">
        <v>102.61799999999999</v>
      </c>
      <c r="R356" s="29">
        <v>100.96899999999999</v>
      </c>
    </row>
    <row r="357" spans="1:18" x14ac:dyDescent="0.2">
      <c r="A357" s="13">
        <v>201706</v>
      </c>
      <c r="B357" s="6">
        <f t="shared" si="5"/>
        <v>2017</v>
      </c>
      <c r="C357" s="14">
        <v>42887</v>
      </c>
      <c r="D357" s="29">
        <v>103.53400000000001</v>
      </c>
      <c r="E357" s="29">
        <v>99.481999999999999</v>
      </c>
      <c r="F357" s="29">
        <v>106.285</v>
      </c>
      <c r="G357" s="29">
        <v>102.128</v>
      </c>
      <c r="H357" s="29">
        <v>103.746</v>
      </c>
      <c r="I357" s="29">
        <v>102.813</v>
      </c>
      <c r="J357" s="29">
        <v>104.96899999999999</v>
      </c>
      <c r="K357" s="29">
        <v>104.423</v>
      </c>
      <c r="L357" s="29">
        <v>104.64100000000001</v>
      </c>
      <c r="M357" s="29">
        <v>102.42400000000001</v>
      </c>
      <c r="N357" s="29">
        <v>107.857</v>
      </c>
      <c r="O357" s="29">
        <v>105.879</v>
      </c>
      <c r="P357" s="29">
        <v>102.65900000000001</v>
      </c>
      <c r="Q357" s="29">
        <v>102.64</v>
      </c>
      <c r="R357" s="29">
        <v>100.905</v>
      </c>
    </row>
    <row r="358" spans="1:18" x14ac:dyDescent="0.2">
      <c r="A358" s="13">
        <v>201707</v>
      </c>
      <c r="B358" s="6">
        <f t="shared" si="5"/>
        <v>2017</v>
      </c>
      <c r="C358" s="14">
        <v>42917</v>
      </c>
      <c r="D358" s="29">
        <v>103.506</v>
      </c>
      <c r="E358" s="29">
        <v>99.427000000000007</v>
      </c>
      <c r="F358" s="29">
        <v>106.592</v>
      </c>
      <c r="G358" s="29">
        <v>99.125</v>
      </c>
      <c r="H358" s="29">
        <v>103.94799999999999</v>
      </c>
      <c r="I358" s="29">
        <v>101.60599999999999</v>
      </c>
      <c r="J358" s="29">
        <v>105.307</v>
      </c>
      <c r="K358" s="29">
        <v>105.51</v>
      </c>
      <c r="L358" s="29">
        <v>104.25</v>
      </c>
      <c r="M358" s="29">
        <v>102.259</v>
      </c>
      <c r="N358" s="29">
        <v>107.857</v>
      </c>
      <c r="O358" s="29">
        <v>106.188</v>
      </c>
      <c r="P358" s="29">
        <v>102.71299999999999</v>
      </c>
      <c r="Q358" s="29">
        <v>102.715</v>
      </c>
      <c r="R358" s="29">
        <v>101.714</v>
      </c>
    </row>
    <row r="359" spans="1:18" x14ac:dyDescent="0.2">
      <c r="A359" s="13">
        <v>201708</v>
      </c>
      <c r="B359" s="6">
        <f t="shared" si="5"/>
        <v>2017</v>
      </c>
      <c r="C359" s="14">
        <v>42948</v>
      </c>
      <c r="D359" s="29">
        <v>104.002</v>
      </c>
      <c r="E359" s="29">
        <v>99.492000000000004</v>
      </c>
      <c r="F359" s="29">
        <v>106.71</v>
      </c>
      <c r="G359" s="29">
        <v>101.477</v>
      </c>
      <c r="H359" s="29">
        <v>104.096</v>
      </c>
      <c r="I359" s="29">
        <v>103.477</v>
      </c>
      <c r="J359" s="29">
        <v>105.34</v>
      </c>
      <c r="K359" s="29">
        <v>106.54900000000001</v>
      </c>
      <c r="L359" s="29">
        <v>105.97199999999999</v>
      </c>
      <c r="M359" s="29">
        <v>102.364</v>
      </c>
      <c r="N359" s="29">
        <v>107.857</v>
      </c>
      <c r="O359" s="29">
        <v>106.245</v>
      </c>
      <c r="P359" s="29">
        <v>103.018</v>
      </c>
      <c r="Q359" s="29">
        <v>102.797</v>
      </c>
      <c r="R359" s="29">
        <v>101.855</v>
      </c>
    </row>
    <row r="360" spans="1:18" x14ac:dyDescent="0.2">
      <c r="A360" s="13">
        <v>201709</v>
      </c>
      <c r="B360" s="6">
        <f t="shared" si="5"/>
        <v>2017</v>
      </c>
      <c r="C360" s="14">
        <v>42979</v>
      </c>
      <c r="D360" s="32">
        <v>104.312</v>
      </c>
      <c r="E360" s="32">
        <v>100.271</v>
      </c>
      <c r="F360" s="32">
        <v>106.857</v>
      </c>
      <c r="G360" s="32">
        <v>105.384</v>
      </c>
      <c r="H360" s="32">
        <v>104.21</v>
      </c>
      <c r="I360" s="32">
        <v>103.7</v>
      </c>
      <c r="J360" s="32">
        <v>105.36</v>
      </c>
      <c r="K360" s="32">
        <v>105.122</v>
      </c>
      <c r="L360" s="32">
        <v>105.646</v>
      </c>
      <c r="M360" s="32">
        <v>103.16500000000001</v>
      </c>
      <c r="N360" s="32">
        <v>108.81699999999999</v>
      </c>
      <c r="O360" s="32">
        <v>106.604</v>
      </c>
      <c r="P360" s="32">
        <v>102.95699999999999</v>
      </c>
      <c r="Q360" s="32">
        <v>102.85</v>
      </c>
      <c r="R360" s="32">
        <v>101.986</v>
      </c>
    </row>
    <row r="361" spans="1:18" x14ac:dyDescent="0.2">
      <c r="A361" s="13">
        <v>201710</v>
      </c>
      <c r="B361" s="6">
        <f t="shared" si="5"/>
        <v>2017</v>
      </c>
      <c r="C361" s="14">
        <v>43009</v>
      </c>
      <c r="D361" s="29">
        <v>104.39700000000001</v>
      </c>
      <c r="E361" s="29">
        <v>100.646</v>
      </c>
      <c r="F361" s="29">
        <v>106.81399999999999</v>
      </c>
      <c r="G361" s="29">
        <v>105.54300000000001</v>
      </c>
      <c r="H361" s="29">
        <v>104.348</v>
      </c>
      <c r="I361" s="29">
        <v>103.294</v>
      </c>
      <c r="J361" s="29">
        <v>105.366</v>
      </c>
      <c r="K361" s="29">
        <v>104.947</v>
      </c>
      <c r="L361" s="29">
        <v>105.45099999999999</v>
      </c>
      <c r="M361" s="29">
        <v>103.724</v>
      </c>
      <c r="N361" s="29">
        <v>110.877</v>
      </c>
      <c r="O361" s="29">
        <v>106.485</v>
      </c>
      <c r="P361" s="29">
        <v>102.467</v>
      </c>
      <c r="Q361" s="29">
        <v>102.786</v>
      </c>
      <c r="R361" s="29">
        <v>103.259</v>
      </c>
    </row>
    <row r="362" spans="1:18" x14ac:dyDescent="0.2">
      <c r="A362" s="13">
        <v>201711</v>
      </c>
      <c r="B362" s="6">
        <f t="shared" si="5"/>
        <v>2017</v>
      </c>
      <c r="C362" s="14">
        <v>43040</v>
      </c>
      <c r="D362" s="29">
        <v>104.664</v>
      </c>
      <c r="E362" s="29">
        <v>101.14</v>
      </c>
      <c r="F362" s="29">
        <v>106.39100000000001</v>
      </c>
      <c r="G362" s="29">
        <v>106.819</v>
      </c>
      <c r="H362" s="29">
        <v>104.40900000000001</v>
      </c>
      <c r="I362" s="29">
        <v>103.574</v>
      </c>
      <c r="J362" s="29">
        <v>105.393</v>
      </c>
      <c r="K362" s="29">
        <v>105.045</v>
      </c>
      <c r="L362" s="29">
        <v>105.726</v>
      </c>
      <c r="M362" s="29">
        <v>104.47</v>
      </c>
      <c r="N362" s="29">
        <v>110.877</v>
      </c>
      <c r="O362" s="29">
        <v>106.80200000000001</v>
      </c>
      <c r="P362" s="29">
        <v>102.32599999999999</v>
      </c>
      <c r="Q362" s="29">
        <v>102.82899999999999</v>
      </c>
      <c r="R362" s="29">
        <v>103.614</v>
      </c>
    </row>
    <row r="363" spans="1:18" x14ac:dyDescent="0.2">
      <c r="A363" s="13">
        <v>201712</v>
      </c>
      <c r="B363" s="6">
        <f t="shared" si="5"/>
        <v>2017</v>
      </c>
      <c r="C363" s="14">
        <v>43070</v>
      </c>
      <c r="D363" s="29">
        <v>104.98</v>
      </c>
      <c r="E363" s="29">
        <v>101.876</v>
      </c>
      <c r="F363" s="29">
        <v>106.904</v>
      </c>
      <c r="G363" s="29">
        <v>105.83</v>
      </c>
      <c r="H363" s="29">
        <v>104.47799999999999</v>
      </c>
      <c r="I363" s="29">
        <v>104.985</v>
      </c>
      <c r="J363" s="29">
        <v>105.49299999999999</v>
      </c>
      <c r="K363" s="29">
        <v>107.41800000000001</v>
      </c>
      <c r="L363" s="29">
        <v>104.352</v>
      </c>
      <c r="M363" s="29">
        <v>104.06399999999999</v>
      </c>
      <c r="N363" s="29">
        <v>110.877</v>
      </c>
      <c r="O363" s="29">
        <v>106.67400000000001</v>
      </c>
      <c r="P363" s="29">
        <v>102.309</v>
      </c>
      <c r="Q363" s="29">
        <v>102.86499999999999</v>
      </c>
      <c r="R363" s="29">
        <v>103.914</v>
      </c>
    </row>
    <row r="364" spans="1:18" x14ac:dyDescent="0.2">
      <c r="A364" s="13">
        <v>201801</v>
      </c>
      <c r="B364" s="6">
        <f t="shared" si="5"/>
        <v>2017</v>
      </c>
      <c r="C364" s="14">
        <v>43101</v>
      </c>
      <c r="D364" s="29">
        <v>104.544</v>
      </c>
      <c r="E364" s="29">
        <v>101.803</v>
      </c>
      <c r="F364" s="29">
        <v>109.316</v>
      </c>
      <c r="G364" s="29">
        <v>101.727</v>
      </c>
      <c r="H364" s="29">
        <v>104.569</v>
      </c>
      <c r="I364" s="29">
        <v>102.239</v>
      </c>
      <c r="J364" s="29">
        <v>106.09699999999999</v>
      </c>
      <c r="K364" s="29">
        <v>106.22799999999999</v>
      </c>
      <c r="L364" s="29">
        <v>104.407</v>
      </c>
      <c r="M364" s="29">
        <v>103.881</v>
      </c>
      <c r="N364" s="29">
        <v>110.877</v>
      </c>
      <c r="O364" s="29">
        <v>106.58799999999999</v>
      </c>
      <c r="P364" s="29">
        <v>102.33799999999999</v>
      </c>
      <c r="Q364" s="29">
        <v>102.949</v>
      </c>
      <c r="R364" s="29">
        <v>104.02</v>
      </c>
    </row>
    <row r="365" spans="1:18" x14ac:dyDescent="0.2">
      <c r="A365" s="13">
        <v>201802</v>
      </c>
      <c r="B365" s="6">
        <f t="shared" si="5"/>
        <v>2017</v>
      </c>
      <c r="C365" s="14">
        <v>43132</v>
      </c>
      <c r="D365" s="33">
        <v>104.919</v>
      </c>
      <c r="E365" s="33">
        <v>101.879</v>
      </c>
      <c r="F365" s="33">
        <v>109.384</v>
      </c>
      <c r="G365" s="33">
        <v>103.417</v>
      </c>
      <c r="H365" s="33">
        <v>104.611</v>
      </c>
      <c r="I365" s="33">
        <v>104.82899999999999</v>
      </c>
      <c r="J365" s="33">
        <v>106.16800000000001</v>
      </c>
      <c r="K365" s="33">
        <v>106.80800000000001</v>
      </c>
      <c r="L365" s="33">
        <v>103.867</v>
      </c>
      <c r="M365" s="33">
        <v>104.13200000000001</v>
      </c>
      <c r="N365" s="33">
        <v>110.877</v>
      </c>
      <c r="O365" s="33">
        <v>106.69499999999999</v>
      </c>
      <c r="P365" s="33">
        <v>102.66200000000001</v>
      </c>
      <c r="Q365" s="33">
        <v>103.004</v>
      </c>
      <c r="R365" s="33">
        <v>103.955</v>
      </c>
    </row>
    <row r="366" spans="1:18" x14ac:dyDescent="0.2">
      <c r="A366" s="13">
        <v>201803</v>
      </c>
      <c r="B366" s="6">
        <f t="shared" si="5"/>
        <v>2017</v>
      </c>
      <c r="C366" s="14">
        <v>43160</v>
      </c>
      <c r="D366" s="29">
        <v>105.062</v>
      </c>
      <c r="E366" s="29">
        <v>102.34699999999999</v>
      </c>
      <c r="F366" s="29">
        <v>108.86</v>
      </c>
      <c r="G366" s="29">
        <v>104.121</v>
      </c>
      <c r="H366" s="29">
        <v>104.697</v>
      </c>
      <c r="I366" s="29">
        <v>104.71599999999999</v>
      </c>
      <c r="J366" s="29">
        <v>106.297</v>
      </c>
      <c r="K366" s="29">
        <v>106.45399999999999</v>
      </c>
      <c r="L366" s="29">
        <v>103.91</v>
      </c>
      <c r="M366" s="29">
        <v>104.792</v>
      </c>
      <c r="N366" s="29">
        <v>110.877</v>
      </c>
      <c r="O366" s="29">
        <v>107.05500000000001</v>
      </c>
      <c r="P366" s="29">
        <v>102.46299999999999</v>
      </c>
      <c r="Q366" s="29">
        <v>103.039</v>
      </c>
      <c r="R366" s="29">
        <v>104.16200000000001</v>
      </c>
    </row>
    <row r="367" spans="1:18" x14ac:dyDescent="0.2">
      <c r="A367" s="13">
        <v>201804</v>
      </c>
      <c r="B367" s="6">
        <f t="shared" si="5"/>
        <v>2018</v>
      </c>
      <c r="C367" s="14">
        <v>43191</v>
      </c>
      <c r="D367" s="29">
        <v>105.524</v>
      </c>
      <c r="E367" s="29">
        <v>102.221</v>
      </c>
      <c r="F367" s="29">
        <v>109.747</v>
      </c>
      <c r="G367" s="29">
        <v>104.503</v>
      </c>
      <c r="H367" s="29">
        <v>105.274</v>
      </c>
      <c r="I367" s="29">
        <v>103.85899999999999</v>
      </c>
      <c r="J367" s="29">
        <v>107.34</v>
      </c>
      <c r="K367" s="29">
        <v>107.539</v>
      </c>
      <c r="L367" s="29">
        <v>104.401</v>
      </c>
      <c r="M367" s="29">
        <v>105.18600000000001</v>
      </c>
      <c r="N367" s="29">
        <v>110.877</v>
      </c>
      <c r="O367" s="29">
        <v>107.86799999999999</v>
      </c>
      <c r="P367" s="29">
        <v>102.48699999999999</v>
      </c>
      <c r="Q367" s="29">
        <v>102.923</v>
      </c>
      <c r="R367" s="29">
        <v>104.77500000000001</v>
      </c>
    </row>
    <row r="368" spans="1:18" x14ac:dyDescent="0.2">
      <c r="A368" s="13">
        <v>201805</v>
      </c>
      <c r="B368" s="6">
        <f t="shared" si="5"/>
        <v>2018</v>
      </c>
      <c r="C368" s="14">
        <v>43221</v>
      </c>
      <c r="D368" s="32">
        <v>105.863</v>
      </c>
      <c r="E368" s="32">
        <v>101.932</v>
      </c>
      <c r="F368" s="32">
        <v>110.70099999999999</v>
      </c>
      <c r="G368" s="32">
        <v>104.733</v>
      </c>
      <c r="H368" s="32">
        <v>105.355</v>
      </c>
      <c r="I368" s="32">
        <v>104.518</v>
      </c>
      <c r="J368" s="32">
        <v>107.29600000000001</v>
      </c>
      <c r="K368" s="32">
        <v>109.155</v>
      </c>
      <c r="L368" s="32">
        <v>104.706</v>
      </c>
      <c r="M368" s="32">
        <v>105.322</v>
      </c>
      <c r="N368" s="32">
        <v>110.877</v>
      </c>
      <c r="O368" s="32">
        <v>108.274</v>
      </c>
      <c r="P368" s="32">
        <v>102.54900000000001</v>
      </c>
      <c r="Q368" s="32">
        <v>102.985</v>
      </c>
      <c r="R368" s="32">
        <v>104.88200000000001</v>
      </c>
    </row>
    <row r="369" spans="1:18" x14ac:dyDescent="0.2">
      <c r="A369" s="13">
        <v>201806</v>
      </c>
      <c r="B369" s="6">
        <f t="shared" si="5"/>
        <v>2018</v>
      </c>
      <c r="C369" s="14">
        <v>43252</v>
      </c>
      <c r="D369" s="29">
        <v>105.87</v>
      </c>
      <c r="E369" s="29">
        <v>101.483</v>
      </c>
      <c r="F369" s="29">
        <v>110.56100000000001</v>
      </c>
      <c r="G369" s="29">
        <v>102.494</v>
      </c>
      <c r="H369" s="29">
        <v>105.605</v>
      </c>
      <c r="I369" s="29">
        <v>104.819</v>
      </c>
      <c r="J369" s="29">
        <v>107.465</v>
      </c>
      <c r="K369" s="29">
        <v>110.004</v>
      </c>
      <c r="L369" s="29">
        <v>105.398</v>
      </c>
      <c r="M369" s="29">
        <v>104.871</v>
      </c>
      <c r="N369" s="29">
        <v>110.877</v>
      </c>
      <c r="O369" s="29">
        <v>108.602</v>
      </c>
      <c r="P369" s="29">
        <v>102.46299999999999</v>
      </c>
      <c r="Q369" s="29">
        <v>103.008</v>
      </c>
      <c r="R369" s="29">
        <v>107.149</v>
      </c>
    </row>
    <row r="370" spans="1:18" x14ac:dyDescent="0.2">
      <c r="A370" s="13">
        <v>201807</v>
      </c>
      <c r="B370" s="6">
        <f t="shared" si="5"/>
        <v>2018</v>
      </c>
      <c r="C370" s="14">
        <v>43282</v>
      </c>
      <c r="D370" s="29">
        <v>105.85899999999999</v>
      </c>
      <c r="E370" s="29">
        <v>101.739</v>
      </c>
      <c r="F370" s="29">
        <v>110.285</v>
      </c>
      <c r="G370" s="29">
        <v>98.753</v>
      </c>
      <c r="H370" s="29">
        <v>105.84</v>
      </c>
      <c r="I370" s="29">
        <v>102.91200000000001</v>
      </c>
      <c r="J370" s="29">
        <v>107.58199999999999</v>
      </c>
      <c r="K370" s="29">
        <v>111.467</v>
      </c>
      <c r="L370" s="29">
        <v>105.935</v>
      </c>
      <c r="M370" s="29">
        <v>105.44199999999999</v>
      </c>
      <c r="N370" s="29">
        <v>110.877</v>
      </c>
      <c r="O370" s="29">
        <v>108.795</v>
      </c>
      <c r="P370" s="29">
        <v>101.694</v>
      </c>
      <c r="Q370" s="29">
        <v>103.19799999999999</v>
      </c>
      <c r="R370" s="29">
        <v>108.511</v>
      </c>
    </row>
    <row r="371" spans="1:18" x14ac:dyDescent="0.2">
      <c r="A371" s="13">
        <v>201808</v>
      </c>
      <c r="B371" s="6">
        <f t="shared" si="5"/>
        <v>2018</v>
      </c>
      <c r="C371" s="14">
        <v>43313</v>
      </c>
      <c r="D371" s="29">
        <v>106.5</v>
      </c>
      <c r="E371" s="29">
        <v>101.895</v>
      </c>
      <c r="F371" s="29">
        <v>110.997</v>
      </c>
      <c r="G371" s="29">
        <v>101.798</v>
      </c>
      <c r="H371" s="29">
        <v>105.965</v>
      </c>
      <c r="I371" s="29">
        <v>104.15900000000001</v>
      </c>
      <c r="J371" s="29">
        <v>107.85899999999999</v>
      </c>
      <c r="K371" s="29">
        <v>112.93600000000001</v>
      </c>
      <c r="L371" s="29">
        <v>106.342</v>
      </c>
      <c r="M371" s="29">
        <v>106.062</v>
      </c>
      <c r="N371" s="29">
        <v>110.877</v>
      </c>
      <c r="O371" s="29">
        <v>108.923</v>
      </c>
      <c r="P371" s="29">
        <v>102.279</v>
      </c>
      <c r="Q371" s="29">
        <v>103.292</v>
      </c>
      <c r="R371" s="29">
        <v>108.56699999999999</v>
      </c>
    </row>
    <row r="372" spans="1:18" x14ac:dyDescent="0.2">
      <c r="A372" s="13">
        <v>201809</v>
      </c>
      <c r="B372" s="6">
        <f t="shared" si="5"/>
        <v>2018</v>
      </c>
      <c r="C372" s="14">
        <v>43344</v>
      </c>
      <c r="D372" s="32">
        <v>106.628</v>
      </c>
      <c r="E372" s="32">
        <v>101.76600000000001</v>
      </c>
      <c r="F372" s="32">
        <v>111.172</v>
      </c>
      <c r="G372" s="32">
        <v>104.931</v>
      </c>
      <c r="H372" s="32">
        <v>106.223</v>
      </c>
      <c r="I372" s="32">
        <v>104.129</v>
      </c>
      <c r="J372" s="32">
        <v>108.072</v>
      </c>
      <c r="K372" s="32">
        <v>110.911</v>
      </c>
      <c r="L372" s="32">
        <v>106.645</v>
      </c>
      <c r="M372" s="32">
        <v>106.34699999999999</v>
      </c>
      <c r="N372" s="32">
        <v>112.024</v>
      </c>
      <c r="O372" s="32">
        <v>109.249</v>
      </c>
      <c r="P372" s="32">
        <v>102.614</v>
      </c>
      <c r="Q372" s="32">
        <v>103.39700000000001</v>
      </c>
      <c r="R372" s="32">
        <v>110.261</v>
      </c>
    </row>
    <row r="373" spans="1:18" x14ac:dyDescent="0.2">
      <c r="A373" s="13">
        <v>201810</v>
      </c>
      <c r="B373" s="6">
        <f t="shared" si="5"/>
        <v>2018</v>
      </c>
      <c r="C373" s="14">
        <v>43374</v>
      </c>
      <c r="D373" s="29">
        <v>106.712</v>
      </c>
      <c r="E373" s="29">
        <v>101.52200000000001</v>
      </c>
      <c r="F373" s="29">
        <v>111.005</v>
      </c>
      <c r="G373" s="29">
        <v>104.434</v>
      </c>
      <c r="H373" s="29">
        <v>106.494</v>
      </c>
      <c r="I373" s="29">
        <v>104.01</v>
      </c>
      <c r="J373" s="29">
        <v>107.767</v>
      </c>
      <c r="K373" s="29">
        <v>110.49299999999999</v>
      </c>
      <c r="L373" s="29">
        <v>107.429</v>
      </c>
      <c r="M373" s="29">
        <v>107.107</v>
      </c>
      <c r="N373" s="29">
        <v>114.36199999999999</v>
      </c>
      <c r="O373" s="29">
        <v>109.06699999999999</v>
      </c>
      <c r="P373" s="29">
        <v>102.49</v>
      </c>
      <c r="Q373" s="29">
        <v>103.40300000000001</v>
      </c>
      <c r="R373" s="29">
        <v>112.745</v>
      </c>
    </row>
    <row r="374" spans="1:18" x14ac:dyDescent="0.2">
      <c r="A374" s="15">
        <v>201811</v>
      </c>
      <c r="B374" s="6">
        <f t="shared" si="5"/>
        <v>2018</v>
      </c>
      <c r="C374" s="14">
        <v>43405</v>
      </c>
      <c r="D374" s="29">
        <v>106.92100000000001</v>
      </c>
      <c r="E374" s="29">
        <v>101.658</v>
      </c>
      <c r="F374" s="29">
        <v>112.499</v>
      </c>
      <c r="G374" s="29">
        <v>106.006</v>
      </c>
      <c r="H374" s="29">
        <v>106.54300000000001</v>
      </c>
      <c r="I374" s="29">
        <v>104.21599999999999</v>
      </c>
      <c r="J374" s="29">
        <v>107.741</v>
      </c>
      <c r="K374" s="29">
        <v>110.06699999999999</v>
      </c>
      <c r="L374" s="29">
        <v>107.46899999999999</v>
      </c>
      <c r="M374" s="29">
        <v>107.181</v>
      </c>
      <c r="N374" s="29">
        <v>114.36199999999999</v>
      </c>
      <c r="O374" s="29">
        <v>109.657</v>
      </c>
      <c r="P374" s="29">
        <v>102.726</v>
      </c>
      <c r="Q374" s="29">
        <v>103.47799999999999</v>
      </c>
      <c r="R374" s="29">
        <v>112.458</v>
      </c>
    </row>
    <row r="375" spans="1:18" x14ac:dyDescent="0.2">
      <c r="A375" s="15">
        <v>201812</v>
      </c>
      <c r="B375" s="6">
        <f t="shared" si="5"/>
        <v>2018</v>
      </c>
      <c r="C375" s="14">
        <v>43435</v>
      </c>
      <c r="D375" s="29">
        <v>107.066</v>
      </c>
      <c r="E375" s="29">
        <v>102.60299999999999</v>
      </c>
      <c r="F375" s="29">
        <v>111.29600000000001</v>
      </c>
      <c r="G375" s="29">
        <v>104.92</v>
      </c>
      <c r="H375" s="29">
        <v>106.625</v>
      </c>
      <c r="I375" s="29">
        <v>105.29</v>
      </c>
      <c r="J375" s="29">
        <v>107.886</v>
      </c>
      <c r="K375" s="29">
        <v>110.92400000000001</v>
      </c>
      <c r="L375" s="29">
        <v>107.325</v>
      </c>
      <c r="M375" s="29">
        <v>106.985</v>
      </c>
      <c r="N375" s="29">
        <v>114.36199999999999</v>
      </c>
      <c r="O375" s="29">
        <v>109.99</v>
      </c>
      <c r="P375" s="29">
        <v>102.43899999999999</v>
      </c>
      <c r="Q375" s="29">
        <v>103.599</v>
      </c>
      <c r="R375" s="29">
        <v>112.267</v>
      </c>
    </row>
    <row r="376" spans="1:18" x14ac:dyDescent="0.2">
      <c r="A376" s="15">
        <v>201901</v>
      </c>
      <c r="B376" s="6">
        <f t="shared" si="5"/>
        <v>2018</v>
      </c>
      <c r="C376" s="14">
        <v>43466</v>
      </c>
      <c r="D376" s="29">
        <v>106.392</v>
      </c>
      <c r="E376" s="29">
        <v>102.703</v>
      </c>
      <c r="F376" s="29">
        <v>113.95</v>
      </c>
      <c r="G376" s="29">
        <v>100.41200000000001</v>
      </c>
      <c r="H376" s="29">
        <v>106.048</v>
      </c>
      <c r="I376" s="29">
        <v>103.128</v>
      </c>
      <c r="J376" s="29">
        <v>108.524</v>
      </c>
      <c r="K376" s="29">
        <v>109.535</v>
      </c>
      <c r="L376" s="29">
        <v>107.617</v>
      </c>
      <c r="M376" s="29">
        <v>106.855</v>
      </c>
      <c r="N376" s="29">
        <v>114.36199999999999</v>
      </c>
      <c r="O376" s="29">
        <v>109.328</v>
      </c>
      <c r="P376" s="29">
        <v>102.586</v>
      </c>
      <c r="Q376" s="29">
        <v>103.617</v>
      </c>
      <c r="R376" s="29">
        <v>105.401</v>
      </c>
    </row>
    <row r="377" spans="1:18" x14ac:dyDescent="0.2">
      <c r="A377" s="15">
        <v>201902</v>
      </c>
      <c r="B377" s="6">
        <f t="shared" si="5"/>
        <v>2018</v>
      </c>
      <c r="C377" s="14">
        <v>43497</v>
      </c>
      <c r="D377" s="32">
        <v>106.80800000000001</v>
      </c>
      <c r="E377" s="32">
        <v>103.101</v>
      </c>
      <c r="F377" s="32">
        <v>114.93300000000001</v>
      </c>
      <c r="G377" s="32">
        <v>101.39</v>
      </c>
      <c r="H377" s="32">
        <v>106.11199999999999</v>
      </c>
      <c r="I377" s="32">
        <v>105.173</v>
      </c>
      <c r="J377" s="32">
        <v>108.756</v>
      </c>
      <c r="K377" s="32">
        <v>109.989</v>
      </c>
      <c r="L377" s="32">
        <v>107.575</v>
      </c>
      <c r="M377" s="32">
        <v>107.36499999999999</v>
      </c>
      <c r="N377" s="32">
        <v>114.36199999999999</v>
      </c>
      <c r="O377" s="32">
        <v>109.518</v>
      </c>
      <c r="P377" s="32">
        <v>102.904</v>
      </c>
      <c r="Q377" s="32">
        <v>103.693</v>
      </c>
      <c r="R377" s="32">
        <v>105.581</v>
      </c>
    </row>
    <row r="378" spans="1:18" x14ac:dyDescent="0.2">
      <c r="A378" s="15">
        <v>201903</v>
      </c>
      <c r="B378" s="6">
        <f t="shared" si="5"/>
        <v>2018</v>
      </c>
      <c r="C378" s="14">
        <v>43525</v>
      </c>
      <c r="D378" s="29">
        <v>106.98699999999999</v>
      </c>
      <c r="E378" s="29">
        <v>103.20699999999999</v>
      </c>
      <c r="F378" s="29">
        <v>114.562</v>
      </c>
      <c r="G378" s="29">
        <v>102.432</v>
      </c>
      <c r="H378" s="29">
        <v>106.191</v>
      </c>
      <c r="I378" s="29">
        <v>105.29300000000001</v>
      </c>
      <c r="J378" s="29">
        <v>109.029</v>
      </c>
      <c r="K378" s="29">
        <v>109.91</v>
      </c>
      <c r="L378" s="29">
        <v>107.73699999999999</v>
      </c>
      <c r="M378" s="29">
        <v>107.614</v>
      </c>
      <c r="N378" s="29">
        <v>114.36199999999999</v>
      </c>
      <c r="O378" s="29">
        <v>110.01</v>
      </c>
      <c r="P378" s="29">
        <v>103.087</v>
      </c>
      <c r="Q378" s="29">
        <v>103.767</v>
      </c>
      <c r="R378" s="29">
        <v>105.619</v>
      </c>
    </row>
    <row r="379" spans="1:18" x14ac:dyDescent="0.2">
      <c r="A379" s="15">
        <v>201904</v>
      </c>
      <c r="B379" s="6">
        <f t="shared" si="5"/>
        <v>2019</v>
      </c>
      <c r="C379" s="14">
        <v>43556</v>
      </c>
      <c r="D379" s="29">
        <v>107.639</v>
      </c>
      <c r="E379" s="29">
        <v>102.93300000000001</v>
      </c>
      <c r="F379" s="29">
        <v>114.047</v>
      </c>
      <c r="G379" s="29">
        <v>102.589</v>
      </c>
      <c r="H379" s="29">
        <v>107.65600000000001</v>
      </c>
      <c r="I379" s="29">
        <v>104</v>
      </c>
      <c r="J379" s="29">
        <v>109.88200000000001</v>
      </c>
      <c r="K379" s="29">
        <v>112.43300000000001</v>
      </c>
      <c r="L379" s="29">
        <v>109.166</v>
      </c>
      <c r="M379" s="29">
        <v>106.792</v>
      </c>
      <c r="N379" s="29">
        <v>114.36199999999999</v>
      </c>
      <c r="O379" s="29">
        <v>110.46</v>
      </c>
      <c r="P379" s="29">
        <v>103.44499999999999</v>
      </c>
      <c r="Q379" s="29">
        <v>103.711</v>
      </c>
      <c r="R379" s="29">
        <v>115.49299999999999</v>
      </c>
    </row>
    <row r="380" spans="1:18" x14ac:dyDescent="0.2">
      <c r="A380" s="15">
        <v>201905</v>
      </c>
      <c r="B380" s="6">
        <f t="shared" si="5"/>
        <v>2019</v>
      </c>
      <c r="C380" s="14">
        <v>43586</v>
      </c>
      <c r="D380" s="29">
        <v>107.919</v>
      </c>
      <c r="E380" s="29">
        <v>103.02800000000001</v>
      </c>
      <c r="F380" s="29">
        <v>114.331</v>
      </c>
      <c r="G380" s="29">
        <v>103.08799999999999</v>
      </c>
      <c r="H380" s="29">
        <v>107.76900000000001</v>
      </c>
      <c r="I380" s="29">
        <v>105.10299999999999</v>
      </c>
      <c r="J380" s="29">
        <v>110.056</v>
      </c>
      <c r="K380" s="29">
        <v>112.077</v>
      </c>
      <c r="L380" s="29">
        <v>109.839</v>
      </c>
      <c r="M380" s="29">
        <v>107.295</v>
      </c>
      <c r="N380" s="29">
        <v>114.36199999999999</v>
      </c>
      <c r="O380" s="29">
        <v>111.352</v>
      </c>
      <c r="P380" s="29">
        <v>103.69499999999999</v>
      </c>
      <c r="Q380" s="29">
        <v>103.837</v>
      </c>
      <c r="R380" s="29">
        <v>115.59399999999999</v>
      </c>
    </row>
    <row r="381" spans="1:18" x14ac:dyDescent="0.2">
      <c r="A381" s="15">
        <v>201906</v>
      </c>
      <c r="B381" s="6">
        <f t="shared" si="5"/>
        <v>2019</v>
      </c>
      <c r="C381" s="14">
        <v>43617</v>
      </c>
      <c r="D381" s="29">
        <v>107.907</v>
      </c>
      <c r="E381" s="29">
        <v>103.161</v>
      </c>
      <c r="F381" s="29">
        <v>114.60599999999999</v>
      </c>
      <c r="G381" s="29">
        <v>102.044</v>
      </c>
      <c r="H381" s="29">
        <v>107.795</v>
      </c>
      <c r="I381" s="29">
        <v>105.815</v>
      </c>
      <c r="J381" s="29">
        <v>110.36199999999999</v>
      </c>
      <c r="K381" s="29">
        <v>112.48</v>
      </c>
      <c r="L381" s="29">
        <v>109.974</v>
      </c>
      <c r="M381" s="29">
        <v>106.846</v>
      </c>
      <c r="N381" s="29">
        <v>114.36199999999999</v>
      </c>
      <c r="O381" s="29">
        <v>111.265</v>
      </c>
      <c r="P381" s="29">
        <v>103.54300000000001</v>
      </c>
      <c r="Q381" s="29">
        <v>103.92700000000001</v>
      </c>
      <c r="R381" s="29">
        <v>115.45</v>
      </c>
    </row>
    <row r="382" spans="1:18" x14ac:dyDescent="0.2">
      <c r="A382" s="15">
        <v>201907</v>
      </c>
      <c r="B382" s="6">
        <f t="shared" si="5"/>
        <v>2019</v>
      </c>
      <c r="C382" s="14">
        <v>43647</v>
      </c>
      <c r="D382" s="29">
        <v>107.953</v>
      </c>
      <c r="E382" s="29">
        <v>103.23699999999999</v>
      </c>
      <c r="F382" s="29">
        <v>114.44799999999999</v>
      </c>
      <c r="G382" s="29">
        <v>99.126999999999995</v>
      </c>
      <c r="H382" s="29">
        <v>107.89400000000001</v>
      </c>
      <c r="I382" s="29">
        <v>103.989</v>
      </c>
      <c r="J382" s="29">
        <v>110.437</v>
      </c>
      <c r="K382" s="29">
        <v>112.946</v>
      </c>
      <c r="L382" s="29">
        <v>109.956</v>
      </c>
      <c r="M382" s="29">
        <v>108.024</v>
      </c>
      <c r="N382" s="29">
        <v>114.36199999999999</v>
      </c>
      <c r="O382" s="29">
        <v>112.16</v>
      </c>
      <c r="P382" s="29">
        <v>103.43</v>
      </c>
      <c r="Q382" s="29">
        <v>103.944</v>
      </c>
      <c r="R382" s="29">
        <v>115.417</v>
      </c>
    </row>
    <row r="383" spans="1:18" x14ac:dyDescent="0.2">
      <c r="A383" s="15">
        <v>201908</v>
      </c>
      <c r="B383" s="6">
        <f t="shared" si="5"/>
        <v>2019</v>
      </c>
      <c r="C383" s="14">
        <v>43678</v>
      </c>
      <c r="D383" s="32">
        <v>108.301</v>
      </c>
      <c r="E383" s="32">
        <v>103.75700000000001</v>
      </c>
      <c r="F383" s="32">
        <v>114.62</v>
      </c>
      <c r="G383" s="32">
        <v>100.95099999999999</v>
      </c>
      <c r="H383" s="32">
        <v>107.961</v>
      </c>
      <c r="I383" s="32">
        <v>104.982</v>
      </c>
      <c r="J383" s="32">
        <v>110.485</v>
      </c>
      <c r="K383" s="32">
        <v>114.377</v>
      </c>
      <c r="L383" s="32">
        <v>110.211</v>
      </c>
      <c r="M383" s="32">
        <v>107.334</v>
      </c>
      <c r="N383" s="32">
        <v>114.36199999999999</v>
      </c>
      <c r="O383" s="32">
        <v>111.94</v>
      </c>
      <c r="P383" s="32">
        <v>104.09699999999999</v>
      </c>
      <c r="Q383" s="32">
        <v>103.991</v>
      </c>
      <c r="R383" s="32">
        <v>115.456</v>
      </c>
    </row>
    <row r="384" spans="1:18" x14ac:dyDescent="0.2">
      <c r="A384" s="15">
        <v>201909</v>
      </c>
      <c r="B384" s="6">
        <f t="shared" si="5"/>
        <v>2019</v>
      </c>
      <c r="C384" s="14">
        <v>43709</v>
      </c>
      <c r="D384" s="29">
        <v>108.414</v>
      </c>
      <c r="E384" s="29">
        <v>103.51900000000001</v>
      </c>
      <c r="F384" s="29">
        <v>114.467</v>
      </c>
      <c r="G384" s="29">
        <v>103.943</v>
      </c>
      <c r="H384" s="29">
        <v>108.062</v>
      </c>
      <c r="I384" s="29">
        <v>106.15600000000001</v>
      </c>
      <c r="J384" s="29">
        <v>110.925</v>
      </c>
      <c r="K384" s="29">
        <v>111.514</v>
      </c>
      <c r="L384" s="29">
        <v>110.976</v>
      </c>
      <c r="M384" s="29">
        <v>107.86499999999999</v>
      </c>
      <c r="N384" s="29">
        <v>115.575</v>
      </c>
      <c r="O384" s="29">
        <v>112.79300000000001</v>
      </c>
      <c r="P384" s="29">
        <v>104.377</v>
      </c>
      <c r="Q384" s="29">
        <v>104.092</v>
      </c>
      <c r="R384" s="29">
        <v>115.47199999999999</v>
      </c>
    </row>
    <row r="385" spans="1:18" x14ac:dyDescent="0.2">
      <c r="A385" s="15">
        <v>201910</v>
      </c>
      <c r="B385" s="6">
        <f t="shared" si="5"/>
        <v>2019</v>
      </c>
      <c r="C385" s="14">
        <v>43739</v>
      </c>
      <c r="D385" s="29">
        <v>108.285</v>
      </c>
      <c r="E385" s="29">
        <v>102.895</v>
      </c>
      <c r="F385" s="29">
        <v>114.87</v>
      </c>
      <c r="G385" s="29">
        <v>104.956</v>
      </c>
      <c r="H385" s="29">
        <v>107.70699999999999</v>
      </c>
      <c r="I385" s="29">
        <v>104.961</v>
      </c>
      <c r="J385" s="29">
        <v>110.56399999999999</v>
      </c>
      <c r="K385" s="29">
        <v>111.27500000000001</v>
      </c>
      <c r="L385" s="29">
        <v>111.038</v>
      </c>
      <c r="M385" s="29">
        <v>108.294</v>
      </c>
      <c r="N385" s="29">
        <v>117.506</v>
      </c>
      <c r="O385" s="29">
        <v>112.51600000000001</v>
      </c>
      <c r="P385" s="29">
        <v>104.377</v>
      </c>
      <c r="Q385" s="29">
        <v>104.148</v>
      </c>
      <c r="R385" s="29">
        <v>110.449</v>
      </c>
    </row>
    <row r="386" spans="1:18" x14ac:dyDescent="0.2">
      <c r="A386" s="15">
        <v>201911</v>
      </c>
      <c r="B386" s="6">
        <f t="shared" si="5"/>
        <v>2019</v>
      </c>
      <c r="C386" s="14">
        <v>43770</v>
      </c>
      <c r="D386" s="34">
        <v>108.51600000000001</v>
      </c>
      <c r="E386" s="29">
        <v>103.752</v>
      </c>
      <c r="F386" s="29">
        <v>114.65</v>
      </c>
      <c r="G386" s="29">
        <v>106.004</v>
      </c>
      <c r="H386" s="29">
        <v>107.824</v>
      </c>
      <c r="I386" s="29">
        <v>105.471</v>
      </c>
      <c r="J386" s="29">
        <v>110.86199999999999</v>
      </c>
      <c r="K386" s="29">
        <v>110.998</v>
      </c>
      <c r="L386" s="29">
        <v>111.011</v>
      </c>
      <c r="M386" s="29">
        <v>108.788</v>
      </c>
      <c r="N386" s="29">
        <v>117.506</v>
      </c>
      <c r="O386" s="29">
        <v>112.33499999999999</v>
      </c>
      <c r="P386" s="29">
        <v>104.696</v>
      </c>
      <c r="Q386" s="29">
        <v>104.265</v>
      </c>
      <c r="R386" s="29">
        <v>110.417</v>
      </c>
    </row>
    <row r="387" spans="1:18" x14ac:dyDescent="0.2">
      <c r="A387" s="15">
        <v>201912</v>
      </c>
      <c r="B387" s="6">
        <f t="shared" si="5"/>
        <v>2019</v>
      </c>
      <c r="C387" s="14">
        <v>43800</v>
      </c>
      <c r="D387" s="34">
        <v>108.52</v>
      </c>
      <c r="E387" s="29">
        <v>104.343</v>
      </c>
      <c r="F387" s="29">
        <v>113.01300000000001</v>
      </c>
      <c r="G387" s="29">
        <v>104.095</v>
      </c>
      <c r="H387" s="29">
        <v>107.92</v>
      </c>
      <c r="I387" s="29">
        <v>106.907</v>
      </c>
      <c r="J387" s="29">
        <v>110.928</v>
      </c>
      <c r="K387" s="29">
        <v>111.68300000000001</v>
      </c>
      <c r="L387" s="29">
        <v>111.955</v>
      </c>
      <c r="M387" s="29">
        <v>108.491</v>
      </c>
      <c r="N387" s="29">
        <v>117.506</v>
      </c>
      <c r="O387" s="29">
        <v>111.764</v>
      </c>
      <c r="P387" s="29">
        <v>104.617</v>
      </c>
      <c r="Q387" s="29">
        <v>104.374</v>
      </c>
      <c r="R387" s="29">
        <v>110.44199999999999</v>
      </c>
    </row>
    <row r="388" spans="1:18" x14ac:dyDescent="0.2">
      <c r="A388" s="15">
        <v>202001</v>
      </c>
      <c r="B388" s="6">
        <f t="shared" si="5"/>
        <v>2019</v>
      </c>
      <c r="C388" s="14">
        <v>43831</v>
      </c>
      <c r="D388" s="29">
        <v>108.268</v>
      </c>
      <c r="E388" s="29">
        <v>104.188</v>
      </c>
      <c r="F388" s="29">
        <v>115.655</v>
      </c>
      <c r="G388" s="29">
        <v>100.684</v>
      </c>
      <c r="H388" s="29">
        <v>108.011</v>
      </c>
      <c r="I388" s="29">
        <v>103.58499999999999</v>
      </c>
      <c r="J388" s="29">
        <v>111.599</v>
      </c>
      <c r="K388" s="29">
        <v>111.527</v>
      </c>
      <c r="L388" s="29">
        <v>112.136</v>
      </c>
      <c r="M388" s="29">
        <v>108.399</v>
      </c>
      <c r="N388" s="29">
        <v>117.506</v>
      </c>
      <c r="O388" s="29">
        <v>111.69</v>
      </c>
      <c r="P388" s="29">
        <v>105.029</v>
      </c>
      <c r="Q388" s="29">
        <v>104.425</v>
      </c>
      <c r="R388" s="29">
        <v>110.547</v>
      </c>
    </row>
    <row r="389" spans="1:18" x14ac:dyDescent="0.2">
      <c r="A389" s="15">
        <v>202002</v>
      </c>
      <c r="B389" s="6">
        <f t="shared" ref="B389:B452" si="6">IF(MOD(A389,100)&gt;=4,  INT(A389/100), INT(A389/100)-1)</f>
        <v>2019</v>
      </c>
      <c r="C389" s="14">
        <v>43862</v>
      </c>
      <c r="D389" s="29">
        <v>108.631</v>
      </c>
      <c r="E389" s="29">
        <v>104.40600000000001</v>
      </c>
      <c r="F389" s="29">
        <v>115.70399999999999</v>
      </c>
      <c r="G389" s="29">
        <v>101.56</v>
      </c>
      <c r="H389" s="29">
        <v>107.974</v>
      </c>
      <c r="I389" s="29">
        <v>105.38</v>
      </c>
      <c r="J389" s="29">
        <v>112.072</v>
      </c>
      <c r="K389" s="29">
        <v>112.027</v>
      </c>
      <c r="L389" s="29">
        <v>112.408</v>
      </c>
      <c r="M389" s="29">
        <v>108.837</v>
      </c>
      <c r="N389" s="29">
        <v>117.506</v>
      </c>
      <c r="O389" s="29">
        <v>112.29300000000001</v>
      </c>
      <c r="P389" s="29">
        <v>105.336</v>
      </c>
      <c r="Q389" s="29">
        <v>104.458</v>
      </c>
      <c r="R389" s="29">
        <v>110.13500000000001</v>
      </c>
    </row>
    <row r="390" spans="1:18" x14ac:dyDescent="0.2">
      <c r="A390" s="15">
        <v>202003</v>
      </c>
      <c r="B390" s="6">
        <f t="shared" si="6"/>
        <v>2019</v>
      </c>
      <c r="C390" s="14">
        <v>43891</v>
      </c>
      <c r="D390" s="29">
        <v>108.637</v>
      </c>
      <c r="E390" s="29">
        <v>104.57299999999999</v>
      </c>
      <c r="F390" s="29">
        <v>116.18</v>
      </c>
      <c r="G390" s="29">
        <v>101.246</v>
      </c>
      <c r="H390" s="29">
        <v>108.01300000000001</v>
      </c>
      <c r="I390" s="29">
        <v>105.426</v>
      </c>
      <c r="J390" s="29">
        <v>112.539</v>
      </c>
      <c r="K390" s="29">
        <v>111.351</v>
      </c>
      <c r="L390" s="29">
        <v>113.11499999999999</v>
      </c>
      <c r="M390" s="29">
        <v>108.932</v>
      </c>
      <c r="N390" s="29">
        <v>117.506</v>
      </c>
      <c r="O390" s="29">
        <v>112.363</v>
      </c>
      <c r="P390" s="29">
        <v>105.571</v>
      </c>
      <c r="Q390" s="29">
        <v>104.55500000000001</v>
      </c>
      <c r="R390" s="29">
        <v>109.488</v>
      </c>
    </row>
    <row r="391" spans="1:18" x14ac:dyDescent="0.2">
      <c r="A391" s="15">
        <v>202004</v>
      </c>
      <c r="B391" s="6">
        <f t="shared" si="6"/>
        <v>2020</v>
      </c>
      <c r="C391" s="14">
        <v>43922</v>
      </c>
      <c r="D391" s="29">
        <v>108.63</v>
      </c>
      <c r="E391" s="29">
        <v>104.416</v>
      </c>
      <c r="F391" s="29">
        <v>116.965</v>
      </c>
      <c r="G391" s="29">
        <v>99.756</v>
      </c>
      <c r="H391" s="29">
        <v>108.245</v>
      </c>
      <c r="I391" s="29">
        <v>103.801</v>
      </c>
      <c r="J391" s="29">
        <v>112.446</v>
      </c>
      <c r="K391" s="29">
        <v>111.417</v>
      </c>
      <c r="L391" s="29">
        <v>113.73399999999999</v>
      </c>
      <c r="M391" s="29">
        <v>109.358</v>
      </c>
      <c r="N391" s="29">
        <v>117.506</v>
      </c>
      <c r="O391" s="29">
        <v>113.13500000000001</v>
      </c>
      <c r="P391" s="29">
        <v>104.753</v>
      </c>
      <c r="Q391" s="29">
        <v>105.105</v>
      </c>
      <c r="R391" s="29">
        <v>107.482</v>
      </c>
    </row>
    <row r="392" spans="1:18" x14ac:dyDescent="0.2">
      <c r="A392" s="15">
        <v>202005</v>
      </c>
      <c r="B392" s="6">
        <f t="shared" si="6"/>
        <v>2020</v>
      </c>
      <c r="C392" s="14">
        <v>43952</v>
      </c>
      <c r="D392" s="29">
        <v>108.648</v>
      </c>
      <c r="E392" s="29">
        <v>104.976</v>
      </c>
      <c r="F392" s="29">
        <v>117.349</v>
      </c>
      <c r="G392" s="29">
        <v>100.02</v>
      </c>
      <c r="H392" s="29">
        <v>108.334</v>
      </c>
      <c r="I392" s="29">
        <v>104.524</v>
      </c>
      <c r="J392" s="29">
        <v>110.861</v>
      </c>
      <c r="K392" s="29">
        <v>110.27</v>
      </c>
      <c r="L392" s="29">
        <v>114.268</v>
      </c>
      <c r="M392" s="29">
        <v>109.235</v>
      </c>
      <c r="N392" s="29">
        <v>117.506</v>
      </c>
      <c r="O392" s="29">
        <v>113.617</v>
      </c>
      <c r="P392" s="29">
        <v>104.905</v>
      </c>
      <c r="Q392" s="29">
        <v>105.21899999999999</v>
      </c>
      <c r="R392" s="29">
        <v>107.337</v>
      </c>
    </row>
    <row r="393" spans="1:18" x14ac:dyDescent="0.2">
      <c r="A393" s="15">
        <v>202006</v>
      </c>
      <c r="B393" s="6">
        <f t="shared" si="6"/>
        <v>2020</v>
      </c>
      <c r="C393" s="14">
        <v>43983</v>
      </c>
      <c r="D393" s="29">
        <v>108.76900000000001</v>
      </c>
      <c r="E393" s="29">
        <v>104.384</v>
      </c>
      <c r="F393" s="29">
        <v>117.008</v>
      </c>
      <c r="G393" s="29">
        <v>99.918000000000006</v>
      </c>
      <c r="H393" s="29">
        <v>108.417</v>
      </c>
      <c r="I393" s="29">
        <v>105.40900000000001</v>
      </c>
      <c r="J393" s="29">
        <v>112.774</v>
      </c>
      <c r="K393" s="29">
        <v>110.845</v>
      </c>
      <c r="L393" s="29">
        <v>114.309</v>
      </c>
      <c r="M393" s="29">
        <v>109.505</v>
      </c>
      <c r="N393" s="29">
        <v>117.506</v>
      </c>
      <c r="O393" s="29">
        <v>113.242</v>
      </c>
      <c r="P393" s="29">
        <v>104.96</v>
      </c>
      <c r="Q393" s="29">
        <v>105.288</v>
      </c>
      <c r="R393" s="29">
        <v>107.699</v>
      </c>
    </row>
    <row r="394" spans="1:18" x14ac:dyDescent="0.2">
      <c r="A394" s="15">
        <v>202007</v>
      </c>
      <c r="B394" s="6">
        <f t="shared" si="6"/>
        <v>2020</v>
      </c>
      <c r="C394" s="14">
        <v>44013</v>
      </c>
      <c r="D394" s="29">
        <v>109.184</v>
      </c>
      <c r="E394" s="29">
        <v>104.11</v>
      </c>
      <c r="F394" s="29">
        <v>117.465</v>
      </c>
      <c r="G394" s="29">
        <v>99.177000000000007</v>
      </c>
      <c r="H394" s="29">
        <v>108.578</v>
      </c>
      <c r="I394" s="29">
        <v>104.97499999999999</v>
      </c>
      <c r="J394" s="29">
        <v>113.934</v>
      </c>
      <c r="K394" s="29">
        <v>112.28400000000001</v>
      </c>
      <c r="L394" s="29">
        <v>114.751</v>
      </c>
      <c r="M394" s="29">
        <v>110.657</v>
      </c>
      <c r="N394" s="29">
        <v>117.506</v>
      </c>
      <c r="O394" s="29">
        <v>114.134</v>
      </c>
      <c r="P394" s="29">
        <v>104.958</v>
      </c>
      <c r="Q394" s="29">
        <v>105.753</v>
      </c>
      <c r="R394" s="29">
        <v>107.67400000000001</v>
      </c>
    </row>
    <row r="395" spans="1:18" x14ac:dyDescent="0.2">
      <c r="A395" s="16">
        <v>202008</v>
      </c>
      <c r="B395" s="6">
        <f t="shared" si="6"/>
        <v>2020</v>
      </c>
      <c r="C395" s="14">
        <v>44044</v>
      </c>
      <c r="D395" s="29">
        <v>108.834</v>
      </c>
      <c r="E395" s="29">
        <v>104.196</v>
      </c>
      <c r="F395" s="29">
        <v>116.83799999999999</v>
      </c>
      <c r="G395" s="29">
        <v>99.629000000000005</v>
      </c>
      <c r="H395" s="29">
        <v>108.67400000000001</v>
      </c>
      <c r="I395" s="29">
        <v>105.52</v>
      </c>
      <c r="J395" s="29">
        <v>113.31699999999999</v>
      </c>
      <c r="K395" s="29">
        <v>113.503</v>
      </c>
      <c r="L395" s="29">
        <v>114.76</v>
      </c>
      <c r="M395" s="29">
        <v>110.194</v>
      </c>
      <c r="N395" s="29">
        <v>117.506</v>
      </c>
      <c r="O395" s="29">
        <v>108.754</v>
      </c>
      <c r="P395" s="29">
        <v>105.14400000000001</v>
      </c>
      <c r="Q395" s="29">
        <v>105.866</v>
      </c>
      <c r="R395" s="29">
        <v>107.63500000000001</v>
      </c>
    </row>
    <row r="396" spans="1:18" x14ac:dyDescent="0.2">
      <c r="A396" s="15">
        <v>202009</v>
      </c>
      <c r="B396" s="6">
        <f t="shared" si="6"/>
        <v>2020</v>
      </c>
      <c r="C396" s="14">
        <v>44075</v>
      </c>
      <c r="D396">
        <v>109.21899999999999</v>
      </c>
      <c r="E396">
        <v>103.483</v>
      </c>
      <c r="F396">
        <v>116.89400000000001</v>
      </c>
      <c r="G396">
        <v>102.477</v>
      </c>
      <c r="H396">
        <v>108.776</v>
      </c>
      <c r="I396">
        <v>105.715</v>
      </c>
      <c r="J396">
        <v>113.259</v>
      </c>
      <c r="K396">
        <v>112.654</v>
      </c>
      <c r="L396">
        <v>114.739</v>
      </c>
      <c r="M396">
        <v>110.398</v>
      </c>
      <c r="N396">
        <v>117.937</v>
      </c>
      <c r="O396">
        <v>112.041</v>
      </c>
      <c r="P396">
        <v>105.181</v>
      </c>
      <c r="Q396">
        <v>105.946</v>
      </c>
      <c r="R396">
        <v>107.56399999999999</v>
      </c>
    </row>
    <row r="397" spans="1:18" x14ac:dyDescent="0.2">
      <c r="A397" s="15">
        <v>202010</v>
      </c>
      <c r="B397" s="6">
        <f t="shared" si="6"/>
        <v>2020</v>
      </c>
      <c r="C397" s="14">
        <v>44105</v>
      </c>
      <c r="D397" s="29">
        <v>109.242</v>
      </c>
      <c r="E397" s="29">
        <v>103.523</v>
      </c>
      <c r="F397" s="29">
        <v>117.199</v>
      </c>
      <c r="G397" s="29">
        <v>104.986</v>
      </c>
      <c r="H397" s="29">
        <v>108.28400000000001</v>
      </c>
      <c r="I397" s="29">
        <v>105.277</v>
      </c>
      <c r="J397" s="29">
        <v>112.959</v>
      </c>
      <c r="K397" s="29">
        <v>112.73</v>
      </c>
      <c r="L397" s="29">
        <v>114.773</v>
      </c>
      <c r="M397" s="29">
        <v>110.36</v>
      </c>
      <c r="N397" s="29">
        <v>120.01900000000001</v>
      </c>
      <c r="O397" s="29">
        <v>111.93300000000001</v>
      </c>
      <c r="P397" s="29">
        <v>105.285</v>
      </c>
      <c r="Q397" s="29">
        <v>106.05</v>
      </c>
      <c r="R397" s="29">
        <v>100.88800000000001</v>
      </c>
    </row>
    <row r="398" spans="1:18" x14ac:dyDescent="0.2">
      <c r="A398" s="15">
        <v>202011</v>
      </c>
      <c r="B398" s="6">
        <f t="shared" si="6"/>
        <v>2020</v>
      </c>
      <c r="C398" s="14">
        <v>44136</v>
      </c>
      <c r="D398" s="29">
        <v>109.137</v>
      </c>
      <c r="E398" s="29">
        <v>103.285</v>
      </c>
      <c r="F398" s="29">
        <v>116.91</v>
      </c>
      <c r="G398" s="29">
        <v>102.233</v>
      </c>
      <c r="H398" s="29">
        <v>108.375</v>
      </c>
      <c r="I398" s="29">
        <v>105.303</v>
      </c>
      <c r="J398" s="29">
        <v>112.82899999999999</v>
      </c>
      <c r="K398" s="29">
        <v>112.107</v>
      </c>
      <c r="L398" s="29">
        <v>114.9</v>
      </c>
      <c r="M398" s="29">
        <v>110.69</v>
      </c>
      <c r="N398" s="29">
        <v>120.01900000000001</v>
      </c>
      <c r="O398" s="29">
        <v>112.764</v>
      </c>
      <c r="P398" s="29">
        <v>105.23699999999999</v>
      </c>
      <c r="Q398" s="29">
        <v>106.062</v>
      </c>
      <c r="R398" s="29">
        <v>100.80800000000001</v>
      </c>
    </row>
    <row r="399" spans="1:18" x14ac:dyDescent="0.2">
      <c r="A399" s="15">
        <v>202012</v>
      </c>
      <c r="B399" s="6">
        <f t="shared" si="6"/>
        <v>2020</v>
      </c>
      <c r="C399" s="14">
        <v>44166</v>
      </c>
      <c r="D399" s="29">
        <v>109.404</v>
      </c>
      <c r="E399" s="29">
        <v>102.92</v>
      </c>
      <c r="F399" s="29">
        <v>117.018</v>
      </c>
      <c r="G399" s="29">
        <v>102.291</v>
      </c>
      <c r="H399" s="29">
        <v>108.559</v>
      </c>
      <c r="I399" s="29">
        <v>106.27800000000001</v>
      </c>
      <c r="J399" s="29">
        <v>112.175</v>
      </c>
      <c r="K399" s="29">
        <v>113.83</v>
      </c>
      <c r="L399" s="29">
        <v>114.919</v>
      </c>
      <c r="M399" s="29">
        <v>111.247</v>
      </c>
      <c r="N399" s="29">
        <v>120.01900000000001</v>
      </c>
      <c r="O399" s="29">
        <v>111.91</v>
      </c>
      <c r="P399" s="29">
        <v>105.262</v>
      </c>
      <c r="Q399" s="29">
        <v>106.19</v>
      </c>
      <c r="R399" s="29">
        <v>101.23099999999999</v>
      </c>
    </row>
    <row r="400" spans="1:18" x14ac:dyDescent="0.2">
      <c r="A400" s="17">
        <v>202101</v>
      </c>
      <c r="B400" s="6">
        <f t="shared" si="6"/>
        <v>2020</v>
      </c>
      <c r="C400" s="18">
        <v>44197</v>
      </c>
      <c r="D400" s="34">
        <v>109.276</v>
      </c>
      <c r="E400" s="29">
        <v>103.5</v>
      </c>
      <c r="F400" s="29">
        <v>119.38200000000001</v>
      </c>
      <c r="G400" s="29">
        <v>97.350999999999999</v>
      </c>
      <c r="H400" s="29">
        <v>108.694</v>
      </c>
      <c r="I400" s="29">
        <v>104.617</v>
      </c>
      <c r="J400" s="29">
        <v>112.974</v>
      </c>
      <c r="K400" s="29">
        <v>114.03700000000001</v>
      </c>
      <c r="L400" s="29">
        <v>114.679</v>
      </c>
      <c r="M400" s="29">
        <v>111.125</v>
      </c>
      <c r="N400" s="29">
        <v>120.01900000000001</v>
      </c>
      <c r="O400" s="29">
        <v>112.886</v>
      </c>
      <c r="P400" s="29">
        <v>105.464</v>
      </c>
      <c r="Q400" s="29">
        <v>106.313</v>
      </c>
      <c r="R400" s="29">
        <v>101.53100000000001</v>
      </c>
    </row>
    <row r="401" spans="1:18" x14ac:dyDescent="0.2">
      <c r="A401" s="19">
        <v>202102</v>
      </c>
      <c r="B401" s="6">
        <f t="shared" si="6"/>
        <v>2020</v>
      </c>
      <c r="C401" s="18">
        <v>44228</v>
      </c>
      <c r="D401" s="29">
        <v>109.42400000000001</v>
      </c>
      <c r="E401" s="29">
        <v>103.776</v>
      </c>
      <c r="F401" s="29">
        <v>119.056</v>
      </c>
      <c r="G401" s="29">
        <v>95.867999999999995</v>
      </c>
      <c r="H401" s="29">
        <v>108.816</v>
      </c>
      <c r="I401" s="29">
        <v>106.227</v>
      </c>
      <c r="J401" s="29">
        <v>112.57</v>
      </c>
      <c r="K401" s="29">
        <v>114.913</v>
      </c>
      <c r="L401" s="29">
        <v>114.697</v>
      </c>
      <c r="M401" s="29">
        <v>111.122</v>
      </c>
      <c r="N401" s="29">
        <v>120.01900000000001</v>
      </c>
      <c r="O401" s="29">
        <v>113.29</v>
      </c>
      <c r="P401" s="29">
        <v>105.45699999999999</v>
      </c>
      <c r="Q401" s="29">
        <v>106.384</v>
      </c>
      <c r="R401" s="29">
        <v>101.81699999999999</v>
      </c>
    </row>
    <row r="402" spans="1:18" x14ac:dyDescent="0.2">
      <c r="A402" s="19">
        <v>202103</v>
      </c>
      <c r="B402" s="6">
        <f t="shared" si="6"/>
        <v>2020</v>
      </c>
      <c r="C402" s="18">
        <v>44256</v>
      </c>
      <c r="D402" s="32">
        <v>109.676</v>
      </c>
      <c r="E402" s="32">
        <v>103.124</v>
      </c>
      <c r="F402" s="32">
        <v>118.97499999999999</v>
      </c>
      <c r="G402" s="32">
        <v>97.41</v>
      </c>
      <c r="H402" s="32">
        <v>108.852</v>
      </c>
      <c r="I402" s="32">
        <v>107.032</v>
      </c>
      <c r="J402" s="32">
        <v>112.839</v>
      </c>
      <c r="K402" s="32">
        <v>115.699</v>
      </c>
      <c r="L402" s="32">
        <v>115.045</v>
      </c>
      <c r="M402" s="32">
        <v>111.331</v>
      </c>
      <c r="N402" s="32">
        <v>120.01900000000001</v>
      </c>
      <c r="O402" s="32">
        <v>113.498</v>
      </c>
      <c r="P402" s="32">
        <v>105.833</v>
      </c>
      <c r="Q402" s="32">
        <v>106.44199999999999</v>
      </c>
      <c r="R402" s="32">
        <v>101.944</v>
      </c>
    </row>
    <row r="403" spans="1:18" x14ac:dyDescent="0.2">
      <c r="A403" s="19">
        <v>202104</v>
      </c>
      <c r="B403" s="6">
        <f t="shared" si="6"/>
        <v>2021</v>
      </c>
      <c r="C403" s="18">
        <v>44287</v>
      </c>
      <c r="D403" s="29">
        <v>110.40300000000001</v>
      </c>
      <c r="E403" s="29">
        <v>103.911</v>
      </c>
      <c r="F403" s="29">
        <v>119.535</v>
      </c>
      <c r="G403" s="29">
        <v>99.763999999999996</v>
      </c>
      <c r="H403" s="29">
        <v>110.149</v>
      </c>
      <c r="I403" s="29">
        <v>106.595</v>
      </c>
      <c r="J403" s="29">
        <v>114.166</v>
      </c>
      <c r="K403" s="29">
        <v>117.02800000000001</v>
      </c>
      <c r="L403" s="29">
        <v>117.08799999999999</v>
      </c>
      <c r="M403" s="29">
        <v>110.072</v>
      </c>
      <c r="N403" s="29">
        <v>120.01900000000001</v>
      </c>
      <c r="O403" s="29">
        <v>114.271</v>
      </c>
      <c r="P403" s="29">
        <v>105.387</v>
      </c>
      <c r="Q403" s="29">
        <v>106.68300000000001</v>
      </c>
      <c r="R403" s="29">
        <v>110.419</v>
      </c>
    </row>
    <row r="404" spans="1:18" x14ac:dyDescent="0.2">
      <c r="A404" s="19">
        <v>202105</v>
      </c>
      <c r="B404" s="6">
        <f t="shared" si="6"/>
        <v>2021</v>
      </c>
      <c r="C404" s="18">
        <v>44317</v>
      </c>
      <c r="D404" s="29">
        <v>110.953</v>
      </c>
      <c r="E404" s="29">
        <v>103.617</v>
      </c>
      <c r="F404" s="29">
        <v>119.35899999999999</v>
      </c>
      <c r="G404" s="29">
        <v>102.075</v>
      </c>
      <c r="H404" s="29">
        <v>110.34</v>
      </c>
      <c r="I404" s="29">
        <v>107.441</v>
      </c>
      <c r="J404" s="29">
        <v>113.96299999999999</v>
      </c>
      <c r="K404" s="29">
        <v>117.426</v>
      </c>
      <c r="L404" s="29">
        <v>116.886</v>
      </c>
      <c r="M404" s="29">
        <v>111.358</v>
      </c>
      <c r="N404" s="29">
        <v>120.01900000000001</v>
      </c>
      <c r="O404" s="29">
        <v>115.675</v>
      </c>
      <c r="P404" s="29">
        <v>106.03100000000001</v>
      </c>
      <c r="Q404" s="29">
        <v>106.84699999999999</v>
      </c>
      <c r="R404" s="29">
        <v>110.607</v>
      </c>
    </row>
    <row r="405" spans="1:18" x14ac:dyDescent="0.2">
      <c r="A405" s="17">
        <v>202106</v>
      </c>
      <c r="B405" s="6">
        <f t="shared" si="6"/>
        <v>2021</v>
      </c>
      <c r="C405" s="18">
        <v>44348</v>
      </c>
      <c r="D405" s="29">
        <v>111.432</v>
      </c>
      <c r="E405" s="29">
        <v>103.794</v>
      </c>
      <c r="F405" s="29">
        <v>119.901</v>
      </c>
      <c r="G405" s="29">
        <v>102.85</v>
      </c>
      <c r="H405" s="29">
        <v>110.502</v>
      </c>
      <c r="I405" s="29">
        <v>108.911</v>
      </c>
      <c r="J405" s="29">
        <v>114.61499999999999</v>
      </c>
      <c r="K405" s="29">
        <v>118.97199999999999</v>
      </c>
      <c r="L405" s="29">
        <v>117.196</v>
      </c>
      <c r="M405" s="29">
        <v>111.779</v>
      </c>
      <c r="N405" s="29">
        <v>120.01900000000001</v>
      </c>
      <c r="O405" s="29">
        <v>116.06699999999999</v>
      </c>
      <c r="P405" s="29">
        <v>106.215</v>
      </c>
      <c r="Q405" s="29">
        <v>107.003</v>
      </c>
      <c r="R405" s="29">
        <v>110.751</v>
      </c>
    </row>
    <row r="406" spans="1:18" x14ac:dyDescent="0.2">
      <c r="A406" s="19">
        <v>202107</v>
      </c>
      <c r="B406" s="6">
        <f t="shared" si="6"/>
        <v>2021</v>
      </c>
      <c r="C406" s="18">
        <v>44378</v>
      </c>
      <c r="D406" s="29">
        <v>111.44499999999999</v>
      </c>
      <c r="E406" s="29">
        <v>103.44499999999999</v>
      </c>
      <c r="F406" s="29">
        <v>119.337</v>
      </c>
      <c r="G406" s="29">
        <v>100.79600000000001</v>
      </c>
      <c r="H406" s="29">
        <v>110.65</v>
      </c>
      <c r="I406" s="29">
        <v>108.078</v>
      </c>
      <c r="J406" s="29">
        <v>114.988</v>
      </c>
      <c r="K406" s="29">
        <v>121.16800000000001</v>
      </c>
      <c r="L406" s="29">
        <v>116.46899999999999</v>
      </c>
      <c r="M406" s="29">
        <v>111.36499999999999</v>
      </c>
      <c r="N406" s="29">
        <v>120.01900000000001</v>
      </c>
      <c r="O406" s="29">
        <v>116.636</v>
      </c>
      <c r="P406" s="29">
        <v>106.002</v>
      </c>
      <c r="Q406" s="29">
        <v>107.223</v>
      </c>
      <c r="R406" s="29">
        <v>110.866</v>
      </c>
    </row>
    <row r="407" spans="1:18" x14ac:dyDescent="0.2">
      <c r="A407" s="19">
        <v>202108</v>
      </c>
      <c r="B407" s="6">
        <f t="shared" si="6"/>
        <v>2021</v>
      </c>
      <c r="C407" s="18">
        <v>44409</v>
      </c>
      <c r="D407" s="35">
        <v>112.114</v>
      </c>
      <c r="E407" s="35">
        <v>104.55200000000001</v>
      </c>
      <c r="F407" s="35">
        <v>119.77500000000001</v>
      </c>
      <c r="G407" s="35">
        <v>100.97799999999999</v>
      </c>
      <c r="H407" s="35">
        <v>110.798</v>
      </c>
      <c r="I407" s="35">
        <v>109.479</v>
      </c>
      <c r="J407" s="35">
        <v>114.904</v>
      </c>
      <c r="K407" s="35">
        <v>122.657</v>
      </c>
      <c r="L407" s="35">
        <v>116.16200000000001</v>
      </c>
      <c r="M407" s="35">
        <v>112.718</v>
      </c>
      <c r="N407" s="35">
        <v>120.01900000000001</v>
      </c>
      <c r="O407" s="35">
        <v>118.108</v>
      </c>
      <c r="P407" s="35">
        <v>106.307</v>
      </c>
      <c r="Q407" s="35">
        <v>107.379</v>
      </c>
      <c r="R407" s="35">
        <v>110.81</v>
      </c>
    </row>
    <row r="408" spans="1:18" x14ac:dyDescent="0.2">
      <c r="A408" s="19">
        <v>202109</v>
      </c>
      <c r="B408" s="6">
        <f t="shared" si="6"/>
        <v>2021</v>
      </c>
      <c r="C408" s="18">
        <v>44440</v>
      </c>
      <c r="D408" s="35">
        <v>112.40900000000001</v>
      </c>
      <c r="E408" s="35">
        <v>104.358</v>
      </c>
      <c r="F408" s="35">
        <v>120.134</v>
      </c>
      <c r="G408" s="35">
        <v>103.114</v>
      </c>
      <c r="H408" s="35">
        <v>111.02500000000001</v>
      </c>
      <c r="I408" s="35">
        <v>110.505</v>
      </c>
      <c r="J408" s="35">
        <v>114.804</v>
      </c>
      <c r="K408" s="35">
        <v>122.179</v>
      </c>
      <c r="L408" s="35">
        <v>116.64100000000001</v>
      </c>
      <c r="M408" s="35">
        <v>113.28700000000001</v>
      </c>
      <c r="N408" s="35">
        <v>121.32599999999999</v>
      </c>
      <c r="O408" s="35">
        <v>117.72499999999999</v>
      </c>
      <c r="P408" s="35">
        <v>106.33</v>
      </c>
      <c r="Q408" s="35">
        <v>107.557</v>
      </c>
      <c r="R408" s="35">
        <v>111.032</v>
      </c>
    </row>
    <row r="409" spans="1:18" x14ac:dyDescent="0.2">
      <c r="A409" s="19">
        <v>202110</v>
      </c>
      <c r="B409" s="6">
        <f t="shared" si="6"/>
        <v>2021</v>
      </c>
      <c r="C409" s="18">
        <v>44470</v>
      </c>
      <c r="D409" s="35">
        <v>113.425</v>
      </c>
      <c r="E409" s="35">
        <v>104.861</v>
      </c>
      <c r="F409" s="35">
        <v>119.48399999999999</v>
      </c>
      <c r="G409" s="35">
        <v>104.69</v>
      </c>
      <c r="H409" s="35">
        <v>112.393</v>
      </c>
      <c r="I409" s="35">
        <v>111.28400000000001</v>
      </c>
      <c r="J409" s="35">
        <v>114.459</v>
      </c>
      <c r="K409" s="35">
        <v>124.04300000000001</v>
      </c>
      <c r="L409" s="35">
        <v>116.54</v>
      </c>
      <c r="M409" s="35">
        <v>113.042</v>
      </c>
      <c r="N409" s="35">
        <v>125.437</v>
      </c>
      <c r="O409" s="35">
        <v>119.01300000000001</v>
      </c>
      <c r="P409" s="35">
        <v>106.79900000000001</v>
      </c>
      <c r="Q409" s="35">
        <v>107.934</v>
      </c>
      <c r="R409" s="35">
        <v>124.065</v>
      </c>
    </row>
    <row r="410" spans="1:18" x14ac:dyDescent="0.2">
      <c r="A410" s="19">
        <v>202111</v>
      </c>
      <c r="B410" s="6">
        <f t="shared" si="6"/>
        <v>2021</v>
      </c>
      <c r="C410" s="18">
        <v>44501</v>
      </c>
      <c r="D410" s="36">
        <v>114.134</v>
      </c>
      <c r="E410" s="36">
        <v>105.88800000000001</v>
      </c>
      <c r="F410" s="36">
        <v>122.57</v>
      </c>
      <c r="G410" s="36">
        <v>105.818</v>
      </c>
      <c r="H410" s="36">
        <v>112.627</v>
      </c>
      <c r="I410" s="36">
        <v>111.816</v>
      </c>
      <c r="J410" s="36">
        <v>114.505</v>
      </c>
      <c r="K410" s="36">
        <v>126.16200000000001</v>
      </c>
      <c r="L410" s="36">
        <v>116.354</v>
      </c>
      <c r="M410" s="36">
        <v>114.298</v>
      </c>
      <c r="N410" s="36">
        <v>125.437</v>
      </c>
      <c r="O410" s="36">
        <v>118.694</v>
      </c>
      <c r="P410" s="36">
        <v>106.82599999999999</v>
      </c>
      <c r="Q410" s="36">
        <v>108.114</v>
      </c>
      <c r="R410" s="36">
        <v>124.28700000000001</v>
      </c>
    </row>
    <row r="411" spans="1:18" x14ac:dyDescent="0.2">
      <c r="A411" s="19">
        <v>202112</v>
      </c>
      <c r="B411" s="6">
        <f t="shared" si="6"/>
        <v>2021</v>
      </c>
      <c r="C411" s="18">
        <v>44531</v>
      </c>
      <c r="D411" s="37">
        <v>114.682</v>
      </c>
      <c r="E411" s="35">
        <v>107.254</v>
      </c>
      <c r="F411" s="35">
        <v>121.66</v>
      </c>
      <c r="G411" s="35">
        <v>106.57599999999999</v>
      </c>
      <c r="H411" s="35">
        <v>112.899</v>
      </c>
      <c r="I411" s="35">
        <v>114.09399999999999</v>
      </c>
      <c r="J411" s="35">
        <v>114.848</v>
      </c>
      <c r="K411" s="35">
        <v>127.63800000000001</v>
      </c>
      <c r="L411" s="35">
        <v>115.833</v>
      </c>
      <c r="M411" s="35">
        <v>114.593</v>
      </c>
      <c r="N411" s="35">
        <v>125.437</v>
      </c>
      <c r="O411" s="35">
        <v>118.601</v>
      </c>
      <c r="P411" s="35">
        <v>107.03100000000001</v>
      </c>
      <c r="Q411" s="35">
        <v>108.339</v>
      </c>
      <c r="R411" s="35">
        <v>124.22</v>
      </c>
    </row>
    <row r="412" spans="1:18" x14ac:dyDescent="0.2">
      <c r="A412" s="19">
        <v>202201</v>
      </c>
      <c r="B412" s="6">
        <f t="shared" si="6"/>
        <v>2021</v>
      </c>
      <c r="C412" s="18">
        <v>44562</v>
      </c>
      <c r="D412" s="35">
        <v>114.636</v>
      </c>
      <c r="E412" s="35">
        <v>108.008</v>
      </c>
      <c r="F412" s="35">
        <v>123.282</v>
      </c>
      <c r="G412" s="35">
        <v>103.497</v>
      </c>
      <c r="H412" s="35">
        <v>113.23699999999999</v>
      </c>
      <c r="I412" s="35">
        <v>113.532</v>
      </c>
      <c r="J412" s="35">
        <v>115.419</v>
      </c>
      <c r="K412" s="35">
        <v>127.23</v>
      </c>
      <c r="L412" s="35">
        <v>115.926</v>
      </c>
      <c r="M412" s="35">
        <v>114.316</v>
      </c>
      <c r="N412" s="35">
        <v>125.437</v>
      </c>
      <c r="O412" s="35">
        <v>118.16500000000001</v>
      </c>
      <c r="P412" s="35">
        <v>107.17100000000001</v>
      </c>
      <c r="Q412" s="35">
        <v>108.712</v>
      </c>
      <c r="R412" s="35">
        <v>124.727</v>
      </c>
    </row>
    <row r="413" spans="1:18" x14ac:dyDescent="0.2">
      <c r="A413" s="19">
        <v>202202</v>
      </c>
      <c r="B413" s="6">
        <f t="shared" si="6"/>
        <v>2021</v>
      </c>
      <c r="C413" s="18">
        <v>44593</v>
      </c>
      <c r="D413" s="38">
        <v>115.42100000000001</v>
      </c>
      <c r="E413" s="36">
        <v>109.03</v>
      </c>
      <c r="F413" s="36">
        <v>123.39100000000001</v>
      </c>
      <c r="G413" s="36">
        <v>104.32599999999999</v>
      </c>
      <c r="H413" s="36">
        <v>113.444</v>
      </c>
      <c r="I413" s="36">
        <v>116.047</v>
      </c>
      <c r="J413" s="36">
        <v>115.47199999999999</v>
      </c>
      <c r="K413" s="36">
        <v>128.364</v>
      </c>
      <c r="L413" s="36">
        <v>115.98699999999999</v>
      </c>
      <c r="M413" s="36">
        <v>116.29</v>
      </c>
      <c r="N413" s="36">
        <v>125.437</v>
      </c>
      <c r="O413" s="36">
        <v>119.01</v>
      </c>
      <c r="P413" s="36">
        <v>107.32299999999999</v>
      </c>
      <c r="Q413" s="36">
        <v>108.879</v>
      </c>
      <c r="R413" s="36">
        <v>125.31100000000001</v>
      </c>
    </row>
    <row r="414" spans="1:18" x14ac:dyDescent="0.2">
      <c r="A414" s="19">
        <v>202203</v>
      </c>
      <c r="B414" s="6">
        <f t="shared" si="6"/>
        <v>2021</v>
      </c>
      <c r="C414" s="18">
        <v>44621</v>
      </c>
      <c r="D414" s="36">
        <v>116.502</v>
      </c>
      <c r="E414" s="36">
        <v>109.251</v>
      </c>
      <c r="F414" s="36">
        <v>124.742</v>
      </c>
      <c r="G414" s="36">
        <v>106.88200000000001</v>
      </c>
      <c r="H414" s="36">
        <v>113.837</v>
      </c>
      <c r="I414" s="36">
        <v>118.20399999999999</v>
      </c>
      <c r="J414" s="36">
        <v>115.617</v>
      </c>
      <c r="K414" s="36">
        <v>131.471</v>
      </c>
      <c r="L414" s="36">
        <v>115.899</v>
      </c>
      <c r="M414" s="36">
        <v>116.873</v>
      </c>
      <c r="N414" s="36">
        <v>125.437</v>
      </c>
      <c r="O414" s="36">
        <v>121.345</v>
      </c>
      <c r="P414" s="36">
        <v>107.73399999999999</v>
      </c>
      <c r="Q414" s="36">
        <v>109.047</v>
      </c>
      <c r="R414" s="36">
        <v>127.58199999999999</v>
      </c>
    </row>
    <row r="415" spans="1:18" x14ac:dyDescent="0.2">
      <c r="A415" s="19">
        <v>202204</v>
      </c>
      <c r="B415" s="6">
        <f t="shared" si="6"/>
        <v>2022</v>
      </c>
      <c r="C415" s="20">
        <v>44652</v>
      </c>
      <c r="D415" s="32">
        <v>119.001</v>
      </c>
      <c r="E415" s="32">
        <v>110.879</v>
      </c>
      <c r="F415" s="32">
        <v>124.84699999999999</v>
      </c>
      <c r="G415" s="32">
        <v>107.992</v>
      </c>
      <c r="H415" s="32">
        <v>119.642</v>
      </c>
      <c r="I415" s="32">
        <v>117.967</v>
      </c>
      <c r="J415" s="32">
        <v>116.6</v>
      </c>
      <c r="K415" s="32">
        <v>133.006</v>
      </c>
      <c r="L415" s="32">
        <v>120.29</v>
      </c>
      <c r="M415" s="32">
        <v>116.598</v>
      </c>
      <c r="N415" s="32">
        <v>125.437</v>
      </c>
      <c r="O415" s="32">
        <v>123.387</v>
      </c>
      <c r="P415" s="32">
        <v>108.261</v>
      </c>
      <c r="Q415" s="32">
        <v>109.73</v>
      </c>
      <c r="R415" s="32">
        <v>186.86799999999999</v>
      </c>
    </row>
    <row r="416" spans="1:18" x14ac:dyDescent="0.2">
      <c r="A416" s="19">
        <v>202205</v>
      </c>
      <c r="B416" s="6">
        <f t="shared" si="6"/>
        <v>2022</v>
      </c>
      <c r="C416" s="18">
        <v>44682</v>
      </c>
      <c r="D416" s="39">
        <v>119.69799999999999</v>
      </c>
      <c r="E416" s="39">
        <v>112.584</v>
      </c>
      <c r="F416" s="39">
        <v>125.39</v>
      </c>
      <c r="G416" s="39">
        <v>109.15</v>
      </c>
      <c r="H416" s="39">
        <v>119.977</v>
      </c>
      <c r="I416" s="39">
        <v>119.232</v>
      </c>
      <c r="J416" s="39">
        <v>115.977</v>
      </c>
      <c r="K416" s="39">
        <v>133.86099999999999</v>
      </c>
      <c r="L416" s="39">
        <v>120.04900000000001</v>
      </c>
      <c r="M416" s="39">
        <v>116.93600000000001</v>
      </c>
      <c r="N416" s="39">
        <v>125.437</v>
      </c>
      <c r="O416" s="39">
        <v>124.485</v>
      </c>
      <c r="P416" s="39">
        <v>109.006</v>
      </c>
      <c r="Q416" s="39">
        <v>110.039</v>
      </c>
      <c r="R416" s="39">
        <v>187.59</v>
      </c>
    </row>
    <row r="417" spans="1:18" x14ac:dyDescent="0.2">
      <c r="A417" s="19">
        <v>202206</v>
      </c>
      <c r="B417" s="6">
        <f t="shared" si="6"/>
        <v>2022</v>
      </c>
      <c r="C417" s="18">
        <v>44713</v>
      </c>
      <c r="D417" s="35">
        <v>120.542</v>
      </c>
      <c r="E417" s="35">
        <v>113.983</v>
      </c>
      <c r="F417" s="35">
        <v>125.541</v>
      </c>
      <c r="G417" s="35">
        <v>109.172</v>
      </c>
      <c r="H417" s="35">
        <v>120.30500000000001</v>
      </c>
      <c r="I417" s="35">
        <v>120.267</v>
      </c>
      <c r="J417" s="35">
        <v>116.46899999999999</v>
      </c>
      <c r="K417" s="35">
        <v>137.03399999999999</v>
      </c>
      <c r="L417" s="35">
        <v>120.562</v>
      </c>
      <c r="M417" s="35">
        <v>117.149</v>
      </c>
      <c r="N417" s="35">
        <v>125.437</v>
      </c>
      <c r="O417" s="35">
        <v>125.999</v>
      </c>
      <c r="P417" s="35">
        <v>109.504</v>
      </c>
      <c r="Q417" s="35">
        <v>110.39100000000001</v>
      </c>
      <c r="R417" s="35">
        <v>188.27099999999999</v>
      </c>
    </row>
    <row r="418" spans="1:18" x14ac:dyDescent="0.2">
      <c r="A418" s="19">
        <v>202207</v>
      </c>
      <c r="B418" s="6">
        <f t="shared" si="6"/>
        <v>2022</v>
      </c>
      <c r="C418" s="20">
        <v>44743</v>
      </c>
      <c r="D418" s="29">
        <v>121.218</v>
      </c>
      <c r="E418" s="29">
        <v>116.57299999999999</v>
      </c>
      <c r="F418" s="29">
        <v>125.863</v>
      </c>
      <c r="G418" s="29">
        <v>107.482</v>
      </c>
      <c r="H418" s="29">
        <v>120.753</v>
      </c>
      <c r="I418" s="29">
        <v>119.078</v>
      </c>
      <c r="J418" s="29">
        <v>116.52200000000001</v>
      </c>
      <c r="K418" s="29">
        <v>139.46299999999999</v>
      </c>
      <c r="L418" s="29">
        <v>120.13500000000001</v>
      </c>
      <c r="M418" s="29">
        <v>117.616</v>
      </c>
      <c r="N418" s="29">
        <v>125.437</v>
      </c>
      <c r="O418" s="29">
        <v>127.07899999999999</v>
      </c>
      <c r="P418" s="29">
        <v>110.191</v>
      </c>
      <c r="Q418" s="29">
        <v>111.30800000000001</v>
      </c>
      <c r="R418" s="29">
        <v>188.51</v>
      </c>
    </row>
    <row r="419" spans="1:18" x14ac:dyDescent="0.2">
      <c r="A419" s="19">
        <v>202208</v>
      </c>
      <c r="B419" s="6">
        <f t="shared" si="6"/>
        <v>2022</v>
      </c>
      <c r="C419" s="18">
        <v>44774</v>
      </c>
      <c r="D419" s="29">
        <v>121.77200000000001</v>
      </c>
      <c r="E419" s="29">
        <v>118.29600000000001</v>
      </c>
      <c r="F419" s="29">
        <v>126.38500000000001</v>
      </c>
      <c r="G419" s="29">
        <v>108.627</v>
      </c>
      <c r="H419" s="29">
        <v>120.95099999999999</v>
      </c>
      <c r="I419" s="29">
        <v>120.60599999999999</v>
      </c>
      <c r="J419" s="29">
        <v>117.851</v>
      </c>
      <c r="K419" s="29">
        <v>137.81399999999999</v>
      </c>
      <c r="L419" s="29">
        <v>119.28100000000001</v>
      </c>
      <c r="M419" s="29">
        <v>118.672</v>
      </c>
      <c r="N419" s="29">
        <v>125.437</v>
      </c>
      <c r="O419" s="29">
        <v>128.36000000000001</v>
      </c>
      <c r="P419" s="29">
        <v>111.179</v>
      </c>
      <c r="Q419" s="29">
        <v>111.70699999999999</v>
      </c>
      <c r="R419" s="29">
        <v>187.61500000000001</v>
      </c>
    </row>
    <row r="420" spans="1:18" x14ac:dyDescent="0.2">
      <c r="A420" s="19">
        <v>202209</v>
      </c>
      <c r="B420" s="6">
        <f t="shared" si="6"/>
        <v>2022</v>
      </c>
      <c r="C420" s="18">
        <v>44805</v>
      </c>
      <c r="D420" s="40">
        <v>122.32</v>
      </c>
      <c r="E420" s="40">
        <v>119.64400000000001</v>
      </c>
      <c r="F420" s="40">
        <v>126.845</v>
      </c>
      <c r="G420" s="40">
        <v>111.82599999999999</v>
      </c>
      <c r="H420" s="40">
        <v>121.358</v>
      </c>
      <c r="I420" s="40">
        <v>122.399</v>
      </c>
      <c r="J420" s="40">
        <v>118.74</v>
      </c>
      <c r="K420" s="40">
        <v>135.52199999999999</v>
      </c>
      <c r="L420" s="40">
        <v>119.372</v>
      </c>
      <c r="M420" s="40">
        <v>119.23699999999999</v>
      </c>
      <c r="N420" s="40">
        <v>126.497</v>
      </c>
      <c r="O420" s="40">
        <v>129.13300000000001</v>
      </c>
      <c r="P420" s="40">
        <v>111.696</v>
      </c>
      <c r="Q420" s="40">
        <v>112.09399999999999</v>
      </c>
      <c r="R420" s="40">
        <v>188.55500000000001</v>
      </c>
    </row>
    <row r="421" spans="1:18" x14ac:dyDescent="0.2">
      <c r="A421" s="19">
        <v>202210</v>
      </c>
      <c r="B421" s="6">
        <f t="shared" si="6"/>
        <v>2022</v>
      </c>
      <c r="C421" s="18">
        <v>44835</v>
      </c>
      <c r="D421" s="41">
        <v>124.31100000000001</v>
      </c>
      <c r="E421" s="41">
        <v>122.02500000000001</v>
      </c>
      <c r="F421" s="41">
        <v>126.863</v>
      </c>
      <c r="G421" s="41">
        <v>113.57</v>
      </c>
      <c r="H421" s="41">
        <v>125.497</v>
      </c>
      <c r="I421" s="41">
        <v>123.133</v>
      </c>
      <c r="J421" s="41">
        <v>119.22199999999999</v>
      </c>
      <c r="K421" s="41">
        <v>135.56100000000001</v>
      </c>
      <c r="L421" s="41">
        <v>120.249</v>
      </c>
      <c r="M421" s="41">
        <v>119.661</v>
      </c>
      <c r="N421" s="41">
        <v>129.4</v>
      </c>
      <c r="O421" s="41">
        <v>130.38499999999999</v>
      </c>
      <c r="P421" s="41">
        <v>112.288</v>
      </c>
      <c r="Q421" s="41">
        <v>112.614</v>
      </c>
      <c r="R421" s="41">
        <v>234.40600000000001</v>
      </c>
    </row>
    <row r="422" spans="1:18" x14ac:dyDescent="0.2">
      <c r="A422" s="19">
        <v>202211</v>
      </c>
      <c r="B422" s="6">
        <f t="shared" si="6"/>
        <v>2022</v>
      </c>
      <c r="C422" s="18">
        <v>44866</v>
      </c>
      <c r="D422" s="35">
        <v>124.78700000000001</v>
      </c>
      <c r="E422" s="35">
        <v>123.39100000000001</v>
      </c>
      <c r="F422" s="35">
        <v>127.669</v>
      </c>
      <c r="G422" s="35">
        <v>113.72199999999999</v>
      </c>
      <c r="H422" s="35">
        <v>125.818</v>
      </c>
      <c r="I422" s="35">
        <v>123.84</v>
      </c>
      <c r="J422" s="35">
        <v>119.917</v>
      </c>
      <c r="K422" s="35">
        <v>135.74700000000001</v>
      </c>
      <c r="L422" s="35">
        <v>119.25</v>
      </c>
      <c r="M422" s="35">
        <v>120.402</v>
      </c>
      <c r="N422" s="35">
        <v>129.4</v>
      </c>
      <c r="O422" s="35">
        <v>130.858</v>
      </c>
      <c r="P422" s="35">
        <v>112.623</v>
      </c>
      <c r="Q422" s="35">
        <v>112.971</v>
      </c>
      <c r="R422" s="35">
        <v>233.87899999999999</v>
      </c>
    </row>
    <row r="423" spans="1:18" x14ac:dyDescent="0.2">
      <c r="A423" s="19">
        <v>202212</v>
      </c>
      <c r="B423" s="6">
        <f t="shared" si="6"/>
        <v>2022</v>
      </c>
      <c r="C423" s="18">
        <v>44896</v>
      </c>
      <c r="D423" s="37">
        <v>125.28400000000001</v>
      </c>
      <c r="E423" s="35">
        <v>125.40900000000001</v>
      </c>
      <c r="F423" s="35">
        <v>126.25</v>
      </c>
      <c r="G423" s="35">
        <v>113.416</v>
      </c>
      <c r="H423" s="35">
        <v>126.14700000000001</v>
      </c>
      <c r="I423" s="35">
        <v>125.32299999999999</v>
      </c>
      <c r="J423" s="35">
        <v>120.611</v>
      </c>
      <c r="K423" s="35">
        <v>136.464</v>
      </c>
      <c r="L423" s="35">
        <v>118.03100000000001</v>
      </c>
      <c r="M423" s="35">
        <v>120.145</v>
      </c>
      <c r="N423" s="35">
        <v>129.4</v>
      </c>
      <c r="O423" s="35">
        <v>132.06899999999999</v>
      </c>
      <c r="P423" s="35">
        <v>112.96299999999999</v>
      </c>
      <c r="Q423" s="35">
        <v>113.355</v>
      </c>
      <c r="R423" s="35">
        <v>233.26300000000001</v>
      </c>
    </row>
    <row r="424" spans="1:18" x14ac:dyDescent="0.2">
      <c r="A424" s="19">
        <v>202301</v>
      </c>
      <c r="B424" s="6">
        <f t="shared" si="6"/>
        <v>2022</v>
      </c>
      <c r="C424" s="18">
        <v>44927</v>
      </c>
      <c r="D424" s="39">
        <v>124.774</v>
      </c>
      <c r="E424" s="39">
        <v>126.136</v>
      </c>
      <c r="F424" s="39">
        <v>129.642</v>
      </c>
      <c r="G424" s="39">
        <v>109.916</v>
      </c>
      <c r="H424" s="39">
        <v>126.61</v>
      </c>
      <c r="I424" s="39">
        <v>123.914</v>
      </c>
      <c r="J424" s="39">
        <v>122.789</v>
      </c>
      <c r="K424" s="39">
        <v>131.53200000000001</v>
      </c>
      <c r="L424" s="39">
        <v>118.575</v>
      </c>
      <c r="M424" s="39">
        <v>120.056</v>
      </c>
      <c r="N424" s="39">
        <v>129.4</v>
      </c>
      <c r="O424" s="39">
        <v>130.87899999999999</v>
      </c>
      <c r="P424" s="39">
        <v>113.548</v>
      </c>
      <c r="Q424" s="39">
        <v>113.755</v>
      </c>
      <c r="R424" s="39">
        <v>235.07900000000001</v>
      </c>
    </row>
    <row r="425" spans="1:18" x14ac:dyDescent="0.2">
      <c r="A425" s="19">
        <v>202302</v>
      </c>
      <c r="B425" s="6">
        <f t="shared" si="6"/>
        <v>2022</v>
      </c>
      <c r="C425" s="18">
        <v>44958</v>
      </c>
      <c r="D425" s="42">
        <v>125.992</v>
      </c>
      <c r="E425" s="42">
        <v>128.83699999999999</v>
      </c>
      <c r="F425" s="42">
        <v>130.38</v>
      </c>
      <c r="G425" s="42">
        <v>112.71599999999999</v>
      </c>
      <c r="H425" s="42">
        <v>126.84699999999999</v>
      </c>
      <c r="I425" s="42">
        <v>126.065</v>
      </c>
      <c r="J425" s="42">
        <v>123.47499999999999</v>
      </c>
      <c r="K425" s="42">
        <v>132.387</v>
      </c>
      <c r="L425" s="42">
        <v>120.12</v>
      </c>
      <c r="M425" s="42">
        <v>121.068</v>
      </c>
      <c r="N425" s="42">
        <v>129.4</v>
      </c>
      <c r="O425" s="42">
        <v>133.43100000000001</v>
      </c>
      <c r="P425" s="42">
        <v>114.47199999999999</v>
      </c>
      <c r="Q425" s="42">
        <v>113.99</v>
      </c>
      <c r="R425" s="42">
        <v>234.858</v>
      </c>
    </row>
    <row r="426" spans="1:18" x14ac:dyDescent="0.2">
      <c r="A426" s="19">
        <v>202303</v>
      </c>
      <c r="B426" s="6">
        <f t="shared" si="6"/>
        <v>2022</v>
      </c>
      <c r="C426" s="18">
        <v>44986</v>
      </c>
      <c r="D426" s="42">
        <v>126.82899999999999</v>
      </c>
      <c r="E426" s="42">
        <v>130.245</v>
      </c>
      <c r="F426" s="42">
        <v>131.381</v>
      </c>
      <c r="G426" s="42">
        <v>114.54900000000001</v>
      </c>
      <c r="H426" s="42">
        <v>127.08199999999999</v>
      </c>
      <c r="I426" s="42">
        <v>127.67700000000001</v>
      </c>
      <c r="J426" s="42">
        <v>124.006</v>
      </c>
      <c r="K426" s="42">
        <v>132.83600000000001</v>
      </c>
      <c r="L426" s="42">
        <v>120.02</v>
      </c>
      <c r="M426" s="42">
        <v>122.255</v>
      </c>
      <c r="N426" s="42">
        <v>129.4</v>
      </c>
      <c r="O426" s="42">
        <v>135.059</v>
      </c>
      <c r="P426" s="42">
        <v>115.029</v>
      </c>
      <c r="Q426" s="42">
        <v>114.256</v>
      </c>
      <c r="R426" s="42">
        <v>234.40100000000001</v>
      </c>
    </row>
    <row r="427" spans="1:18" x14ac:dyDescent="0.2">
      <c r="A427" s="19">
        <v>202304</v>
      </c>
      <c r="B427" s="6">
        <f t="shared" si="6"/>
        <v>2023</v>
      </c>
      <c r="C427" s="18">
        <v>45017</v>
      </c>
      <c r="D427" s="43">
        <v>128.339</v>
      </c>
      <c r="E427" s="43">
        <v>132.096</v>
      </c>
      <c r="F427" s="43">
        <v>136.148</v>
      </c>
      <c r="G427" s="43">
        <v>115.297</v>
      </c>
      <c r="H427" s="43">
        <v>128.34100000000001</v>
      </c>
      <c r="I427" s="43">
        <v>126.774</v>
      </c>
      <c r="J427" s="43">
        <v>125.035</v>
      </c>
      <c r="K427" s="43">
        <v>135.191</v>
      </c>
      <c r="L427" s="43">
        <v>129.62899999999999</v>
      </c>
      <c r="M427" s="43">
        <v>124.021</v>
      </c>
      <c r="N427" s="43">
        <v>129.4</v>
      </c>
      <c r="O427" s="43">
        <v>135.97200000000001</v>
      </c>
      <c r="P427" s="43">
        <v>115.652</v>
      </c>
      <c r="Q427" s="43">
        <v>115.815</v>
      </c>
      <c r="R427" s="43">
        <v>231.51300000000001</v>
      </c>
    </row>
    <row r="428" spans="1:18" x14ac:dyDescent="0.2">
      <c r="A428" s="19">
        <v>202305</v>
      </c>
      <c r="B428" s="6">
        <f t="shared" si="6"/>
        <v>2023</v>
      </c>
      <c r="C428" s="18">
        <v>45047</v>
      </c>
      <c r="D428" s="44">
        <v>129.12700000000001</v>
      </c>
      <c r="E428" s="44">
        <v>133.30600000000001</v>
      </c>
      <c r="F428" s="44">
        <v>136.92099999999999</v>
      </c>
      <c r="G428" s="44">
        <v>116.821</v>
      </c>
      <c r="H428" s="44">
        <v>128.69999999999999</v>
      </c>
      <c r="I428" s="44">
        <v>128.15199999999999</v>
      </c>
      <c r="J428" s="44">
        <v>125.791</v>
      </c>
      <c r="K428" s="44">
        <v>135.60499999999999</v>
      </c>
      <c r="L428" s="44">
        <v>130.809</v>
      </c>
      <c r="M428" s="44">
        <v>124.92700000000001</v>
      </c>
      <c r="N428" s="44">
        <v>129.4</v>
      </c>
      <c r="O428" s="44">
        <v>137.298</v>
      </c>
      <c r="P428" s="44">
        <v>116.358</v>
      </c>
      <c r="Q428" s="44">
        <v>116.163</v>
      </c>
      <c r="R428" s="44">
        <v>231.07499999999999</v>
      </c>
    </row>
    <row r="429" spans="1:18" x14ac:dyDescent="0.2">
      <c r="A429" s="19">
        <v>202306</v>
      </c>
      <c r="B429" s="6">
        <f t="shared" si="6"/>
        <v>2023</v>
      </c>
      <c r="C429" s="18">
        <v>45078</v>
      </c>
      <c r="D429" s="29">
        <v>129.35400000000001</v>
      </c>
      <c r="E429" s="29">
        <v>133.79599999999999</v>
      </c>
      <c r="F429" s="29">
        <v>137.03899999999999</v>
      </c>
      <c r="G429" s="29">
        <v>117.05</v>
      </c>
      <c r="H429" s="29">
        <v>129.09800000000001</v>
      </c>
      <c r="I429" s="29">
        <v>128.15199999999999</v>
      </c>
      <c r="J429" s="29">
        <v>126.133</v>
      </c>
      <c r="K429" s="29">
        <v>134.68299999999999</v>
      </c>
      <c r="L429" s="29">
        <v>131.84399999999999</v>
      </c>
      <c r="M429" s="29">
        <v>125.14100000000001</v>
      </c>
      <c r="N429" s="29">
        <v>129.4</v>
      </c>
      <c r="O429" s="29">
        <v>137.99700000000001</v>
      </c>
      <c r="P429" s="29">
        <v>116.566</v>
      </c>
      <c r="Q429" s="29">
        <v>116.495</v>
      </c>
      <c r="R429" s="29">
        <v>230.84700000000001</v>
      </c>
    </row>
    <row r="430" spans="1:18" x14ac:dyDescent="0.2">
      <c r="A430" s="19">
        <v>202307</v>
      </c>
      <c r="B430" s="6">
        <f t="shared" si="6"/>
        <v>2023</v>
      </c>
      <c r="C430" s="18">
        <v>45108</v>
      </c>
      <c r="D430" s="45">
        <v>128.95699999999999</v>
      </c>
      <c r="E430" s="45">
        <v>133.91499999999999</v>
      </c>
      <c r="F430" s="45">
        <v>137.601</v>
      </c>
      <c r="G430" s="45">
        <v>114.565</v>
      </c>
      <c r="H430" s="45">
        <v>127.33</v>
      </c>
      <c r="I430" s="45">
        <v>126.52800000000001</v>
      </c>
      <c r="J430" s="45">
        <v>127.047</v>
      </c>
      <c r="K430" s="45">
        <v>136.482</v>
      </c>
      <c r="L430" s="45">
        <v>128.542</v>
      </c>
      <c r="M430" s="45">
        <v>125.55800000000001</v>
      </c>
      <c r="N430" s="45">
        <v>129.4</v>
      </c>
      <c r="O430" s="45">
        <v>139.267</v>
      </c>
      <c r="P430" s="45">
        <v>116.60899999999999</v>
      </c>
      <c r="Q430" s="45">
        <v>118.49</v>
      </c>
      <c r="R430" s="45">
        <v>195.97</v>
      </c>
    </row>
    <row r="431" spans="1:18" x14ac:dyDescent="0.2">
      <c r="A431" s="19">
        <v>202308</v>
      </c>
      <c r="B431" s="6">
        <f t="shared" si="6"/>
        <v>2023</v>
      </c>
      <c r="C431" s="18">
        <v>45139</v>
      </c>
      <c r="D431" s="46">
        <v>129.43100000000001</v>
      </c>
      <c r="E431" s="46">
        <v>134.381</v>
      </c>
      <c r="F431" s="46">
        <v>139.63900000000001</v>
      </c>
      <c r="G431" s="46">
        <v>116.21299999999999</v>
      </c>
      <c r="H431" s="46">
        <v>127.84399999999999</v>
      </c>
      <c r="I431" s="46">
        <v>126.78100000000001</v>
      </c>
      <c r="J431" s="46">
        <v>127.98399999999999</v>
      </c>
      <c r="K431" s="46">
        <v>136.80799999999999</v>
      </c>
      <c r="L431" s="46">
        <v>129.001</v>
      </c>
      <c r="M431" s="46">
        <v>125.792</v>
      </c>
      <c r="N431" s="46">
        <v>129.4</v>
      </c>
      <c r="O431" s="46">
        <v>139.07</v>
      </c>
      <c r="P431" s="46">
        <v>117.116</v>
      </c>
      <c r="Q431" s="46">
        <v>118.821</v>
      </c>
      <c r="R431" s="46">
        <v>196.738</v>
      </c>
    </row>
    <row r="432" spans="1:18" x14ac:dyDescent="0.2">
      <c r="A432" s="19">
        <v>202309</v>
      </c>
      <c r="B432" s="6">
        <f t="shared" si="6"/>
        <v>2023</v>
      </c>
      <c r="C432" s="18">
        <v>45170</v>
      </c>
      <c r="D432" s="47">
        <v>130.071</v>
      </c>
      <c r="E432" s="47">
        <v>134.21</v>
      </c>
      <c r="F432" s="47">
        <v>141.001</v>
      </c>
      <c r="G432" s="47">
        <v>119.548</v>
      </c>
      <c r="H432" s="47">
        <v>128.315</v>
      </c>
      <c r="I432" s="47">
        <v>126.971</v>
      </c>
      <c r="J432" s="47">
        <v>128.72200000000001</v>
      </c>
      <c r="K432" s="47">
        <v>136.536</v>
      </c>
      <c r="L432" s="47">
        <v>128.98500000000001</v>
      </c>
      <c r="M432" s="47">
        <v>126.645</v>
      </c>
      <c r="N432" s="47">
        <v>131.714</v>
      </c>
      <c r="O432" s="47">
        <v>140.274</v>
      </c>
      <c r="P432" s="47">
        <v>117.29300000000001</v>
      </c>
      <c r="Q432" s="47">
        <v>119.28</v>
      </c>
      <c r="R432" s="47">
        <v>197.126</v>
      </c>
    </row>
    <row r="433" spans="1:18" x14ac:dyDescent="0.2">
      <c r="A433" s="19">
        <v>202310</v>
      </c>
      <c r="B433" s="6">
        <f t="shared" si="6"/>
        <v>2023</v>
      </c>
      <c r="C433" s="18">
        <v>45200</v>
      </c>
      <c r="D433" s="48">
        <v>130.21</v>
      </c>
      <c r="E433" s="48">
        <v>134.36099999999999</v>
      </c>
      <c r="F433" s="48">
        <v>140.76599999999999</v>
      </c>
      <c r="G433" s="48">
        <v>120.624</v>
      </c>
      <c r="H433" s="48">
        <v>127.871</v>
      </c>
      <c r="I433" s="48">
        <v>126.98</v>
      </c>
      <c r="J433" s="48">
        <v>129.03700000000001</v>
      </c>
      <c r="K433" s="48">
        <v>136.221</v>
      </c>
      <c r="L433" s="48">
        <v>129.87200000000001</v>
      </c>
      <c r="M433" s="48">
        <v>127.559</v>
      </c>
      <c r="N433" s="48">
        <v>135.17599999999999</v>
      </c>
      <c r="O433" s="48">
        <v>140.29599999999999</v>
      </c>
      <c r="P433" s="48">
        <v>117.705</v>
      </c>
      <c r="Q433" s="48">
        <v>119.702</v>
      </c>
      <c r="R433" s="48">
        <v>183.52</v>
      </c>
    </row>
    <row r="434" spans="1:18" x14ac:dyDescent="0.2">
      <c r="A434" s="19">
        <v>202311</v>
      </c>
      <c r="B434" s="6">
        <f t="shared" si="6"/>
        <v>2023</v>
      </c>
      <c r="C434" s="18">
        <v>45231</v>
      </c>
      <c r="D434" s="49">
        <v>130.04900000000001</v>
      </c>
      <c r="E434" s="49">
        <v>134.78100000000001</v>
      </c>
      <c r="F434" s="49">
        <v>140.65899999999999</v>
      </c>
      <c r="G434" s="49">
        <v>120.20699999999999</v>
      </c>
      <c r="H434" s="49">
        <v>128.24199999999999</v>
      </c>
      <c r="I434" s="49">
        <v>126.751</v>
      </c>
      <c r="J434" s="49">
        <v>129.09200000000001</v>
      </c>
      <c r="K434" s="49">
        <v>133.88200000000001</v>
      </c>
      <c r="L434" s="49">
        <v>128.876</v>
      </c>
      <c r="M434" s="49">
        <v>127.084</v>
      </c>
      <c r="N434" s="49">
        <v>135.17599999999999</v>
      </c>
      <c r="O434" s="49">
        <v>140.79300000000001</v>
      </c>
      <c r="P434" s="49">
        <v>117.642</v>
      </c>
      <c r="Q434" s="49">
        <v>120.149</v>
      </c>
      <c r="R434" s="49">
        <v>183.16800000000001</v>
      </c>
    </row>
    <row r="435" spans="1:18" x14ac:dyDescent="0.2">
      <c r="A435" s="19">
        <v>202312</v>
      </c>
      <c r="B435" s="6">
        <f t="shared" si="6"/>
        <v>2023</v>
      </c>
      <c r="C435" s="18">
        <v>45261</v>
      </c>
      <c r="D435" s="50">
        <v>130.54900000000001</v>
      </c>
      <c r="E435" s="50">
        <v>135.465</v>
      </c>
      <c r="F435" s="50">
        <v>142.36799999999999</v>
      </c>
      <c r="G435" s="50">
        <v>120.679</v>
      </c>
      <c r="H435" s="50">
        <v>128.589</v>
      </c>
      <c r="I435" s="50">
        <v>128.511</v>
      </c>
      <c r="J435" s="50">
        <v>129.71299999999999</v>
      </c>
      <c r="K435" s="50">
        <v>134.636</v>
      </c>
      <c r="L435" s="50">
        <v>128.136</v>
      </c>
      <c r="M435" s="50">
        <v>127.32599999999999</v>
      </c>
      <c r="N435" s="50">
        <v>135.17599999999999</v>
      </c>
      <c r="O435" s="50">
        <v>141.43</v>
      </c>
      <c r="P435" s="50">
        <v>117.325</v>
      </c>
      <c r="Q435" s="50">
        <v>120.495</v>
      </c>
      <c r="R435" s="50">
        <v>182.958</v>
      </c>
    </row>
    <row r="436" spans="1:18" x14ac:dyDescent="0.2">
      <c r="A436" s="19">
        <v>202401</v>
      </c>
      <c r="B436" s="6">
        <f t="shared" si="6"/>
        <v>2023</v>
      </c>
      <c r="C436" s="18">
        <v>45292</v>
      </c>
      <c r="D436" s="51">
        <v>130.036</v>
      </c>
      <c r="E436" s="51">
        <v>134.929</v>
      </c>
      <c r="F436" s="51">
        <v>145.459</v>
      </c>
      <c r="G436" s="51">
        <v>115.946</v>
      </c>
      <c r="H436" s="51">
        <v>129.72499999999999</v>
      </c>
      <c r="I436" s="51">
        <v>124.527</v>
      </c>
      <c r="J436" s="51">
        <v>131.423</v>
      </c>
      <c r="K436" s="51">
        <v>130.89400000000001</v>
      </c>
      <c r="L436" s="51">
        <v>128.351</v>
      </c>
      <c r="M436" s="51">
        <v>127.232</v>
      </c>
      <c r="N436" s="51">
        <v>135.17599999999999</v>
      </c>
      <c r="O436" s="51">
        <v>140.13499999999999</v>
      </c>
      <c r="P436" s="51">
        <v>118.35899999999999</v>
      </c>
      <c r="Q436" s="51">
        <v>121.175</v>
      </c>
      <c r="R436" s="51">
        <v>191.88300000000001</v>
      </c>
    </row>
    <row r="437" spans="1:18" x14ac:dyDescent="0.2">
      <c r="A437" s="19">
        <v>202402</v>
      </c>
      <c r="B437" s="6">
        <f t="shared" si="6"/>
        <v>2023</v>
      </c>
      <c r="C437" s="18">
        <v>45323</v>
      </c>
      <c r="D437" s="52">
        <v>130.83799999999999</v>
      </c>
      <c r="E437" s="52">
        <v>135.24100000000001</v>
      </c>
      <c r="F437" s="52">
        <v>145.755</v>
      </c>
      <c r="G437" s="52">
        <v>118.327</v>
      </c>
      <c r="H437" s="52">
        <v>130.51900000000001</v>
      </c>
      <c r="I437" s="52">
        <v>126.185</v>
      </c>
      <c r="J437" s="52">
        <v>131.684</v>
      </c>
      <c r="K437" s="52">
        <v>131.90600000000001</v>
      </c>
      <c r="L437" s="52">
        <v>126.974</v>
      </c>
      <c r="M437" s="52">
        <v>127.86199999999999</v>
      </c>
      <c r="N437" s="52">
        <v>135.17599999999999</v>
      </c>
      <c r="O437" s="52">
        <v>141.50200000000001</v>
      </c>
      <c r="P437" s="52">
        <v>118.384</v>
      </c>
      <c r="Q437" s="52">
        <v>121.898</v>
      </c>
      <c r="R437" s="52">
        <v>192.12700000000001</v>
      </c>
    </row>
    <row r="438" spans="1:18" x14ac:dyDescent="0.2">
      <c r="A438" s="19">
        <v>202403</v>
      </c>
      <c r="B438" s="6">
        <f t="shared" si="6"/>
        <v>2023</v>
      </c>
      <c r="C438" s="18">
        <v>45352</v>
      </c>
      <c r="D438" s="53">
        <v>131.59200000000001</v>
      </c>
      <c r="E438" s="54">
        <v>135.49299999999999</v>
      </c>
      <c r="F438" s="54">
        <v>147.041</v>
      </c>
      <c r="G438" s="54">
        <v>119.01</v>
      </c>
      <c r="H438" s="54">
        <v>131.07499999999999</v>
      </c>
      <c r="I438" s="54">
        <v>126.58499999999999</v>
      </c>
      <c r="J438" s="54">
        <v>132.262</v>
      </c>
      <c r="K438" s="54">
        <v>132.744</v>
      </c>
      <c r="L438" s="54">
        <v>129.13999999999999</v>
      </c>
      <c r="M438" s="54">
        <v>129.05600000000001</v>
      </c>
      <c r="N438" s="54">
        <v>135.17599999999999</v>
      </c>
      <c r="O438" s="54">
        <v>143.006</v>
      </c>
      <c r="P438" s="54">
        <v>118.67</v>
      </c>
      <c r="Q438" s="54">
        <v>122.441</v>
      </c>
      <c r="R438" s="54">
        <v>191.83699999999999</v>
      </c>
    </row>
    <row r="439" spans="1:18" x14ac:dyDescent="0.2">
      <c r="A439" s="19">
        <v>202404</v>
      </c>
      <c r="B439" s="6">
        <f t="shared" si="6"/>
        <v>2024</v>
      </c>
      <c r="C439" s="18">
        <v>45383</v>
      </c>
      <c r="D439" s="55">
        <v>132.24299999999999</v>
      </c>
      <c r="E439" s="55">
        <v>135.928</v>
      </c>
      <c r="F439" s="55">
        <v>147.08600000000001</v>
      </c>
      <c r="G439" s="55">
        <v>119.51900000000001</v>
      </c>
      <c r="H439" s="55">
        <v>130.93299999999999</v>
      </c>
      <c r="I439" s="55">
        <v>125.60599999999999</v>
      </c>
      <c r="J439" s="55">
        <v>133.511</v>
      </c>
      <c r="K439" s="55">
        <v>135.029</v>
      </c>
      <c r="L439" s="55">
        <v>134.94900000000001</v>
      </c>
      <c r="M439" s="55">
        <v>129.75399999999999</v>
      </c>
      <c r="N439" s="55">
        <v>135.17599999999999</v>
      </c>
      <c r="O439" s="55">
        <v>144.25399999999999</v>
      </c>
      <c r="P439" s="55">
        <v>119.60299999999999</v>
      </c>
      <c r="Q439" s="55">
        <v>123.852</v>
      </c>
      <c r="R439" s="55">
        <v>168.77099999999999</v>
      </c>
    </row>
    <row r="440" spans="1:18" x14ac:dyDescent="0.2">
      <c r="A440" s="19">
        <v>202405</v>
      </c>
      <c r="B440" s="6">
        <f t="shared" si="6"/>
        <v>2024</v>
      </c>
      <c r="C440" s="18">
        <v>45413</v>
      </c>
      <c r="D440" s="56">
        <v>132.72800000000001</v>
      </c>
      <c r="E440" s="56">
        <v>135.56200000000001</v>
      </c>
      <c r="F440" s="56">
        <v>147.59200000000001</v>
      </c>
      <c r="G440" s="56">
        <v>120.28</v>
      </c>
      <c r="H440" s="56">
        <v>131.44200000000001</v>
      </c>
      <c r="I440" s="56">
        <v>125.873</v>
      </c>
      <c r="J440" s="56">
        <v>133.77600000000001</v>
      </c>
      <c r="K440" s="56">
        <v>136.01300000000001</v>
      </c>
      <c r="L440" s="56">
        <v>136.316</v>
      </c>
      <c r="M440" s="56">
        <v>130.03</v>
      </c>
      <c r="N440" s="56">
        <v>135.17599999999999</v>
      </c>
      <c r="O440" s="56">
        <v>145.285</v>
      </c>
      <c r="P440" s="56">
        <v>119.76600000000001</v>
      </c>
      <c r="Q440" s="56">
        <v>124.349</v>
      </c>
      <c r="R440" s="56">
        <v>168.48599999999999</v>
      </c>
    </row>
    <row r="441" spans="1:18" x14ac:dyDescent="0.2">
      <c r="A441" s="19">
        <v>202406</v>
      </c>
      <c r="B441" s="6">
        <f t="shared" si="6"/>
        <v>2024</v>
      </c>
      <c r="C441" s="18">
        <v>45444</v>
      </c>
      <c r="D441" s="57">
        <v>132.98500000000001</v>
      </c>
      <c r="E441" s="57">
        <v>135.833</v>
      </c>
      <c r="F441" s="57">
        <v>147.011</v>
      </c>
      <c r="G441" s="57">
        <v>118.872</v>
      </c>
      <c r="H441" s="57">
        <v>132.01300000000001</v>
      </c>
      <c r="I441" s="57">
        <v>126.14400000000001</v>
      </c>
      <c r="J441" s="57">
        <v>134.20599999999999</v>
      </c>
      <c r="K441" s="57">
        <v>135.691</v>
      </c>
      <c r="L441" s="57">
        <v>135.785</v>
      </c>
      <c r="M441" s="57">
        <v>130.22200000000001</v>
      </c>
      <c r="N441" s="57">
        <v>135.17599999999999</v>
      </c>
      <c r="O441" s="57">
        <v>146.65</v>
      </c>
      <c r="P441" s="57">
        <v>119.812</v>
      </c>
      <c r="Q441" s="57">
        <v>124.892</v>
      </c>
      <c r="R441" s="57">
        <v>168.239</v>
      </c>
    </row>
    <row r="442" spans="1:18" x14ac:dyDescent="0.2">
      <c r="A442" s="19">
        <v>202407</v>
      </c>
      <c r="B442" s="6">
        <f t="shared" si="6"/>
        <v>2024</v>
      </c>
      <c r="C442" s="18">
        <v>45474</v>
      </c>
      <c r="D442" s="58">
        <v>132.935</v>
      </c>
      <c r="E442" s="59">
        <v>135.86099999999999</v>
      </c>
      <c r="F442" s="59">
        <v>147.55199999999999</v>
      </c>
      <c r="G442" s="59">
        <v>116.82599999999999</v>
      </c>
      <c r="H442" s="59">
        <v>132.095</v>
      </c>
      <c r="I442" s="59">
        <v>124.46</v>
      </c>
      <c r="J442" s="59">
        <v>134.48500000000001</v>
      </c>
      <c r="K442" s="59">
        <v>136.67099999999999</v>
      </c>
      <c r="L442" s="59">
        <v>134.38800000000001</v>
      </c>
      <c r="M442" s="59">
        <v>130.33799999999999</v>
      </c>
      <c r="N442" s="59">
        <v>135.17599999999999</v>
      </c>
      <c r="O442" s="59">
        <v>146.13300000000001</v>
      </c>
      <c r="P442" s="59">
        <v>120.55800000000001</v>
      </c>
      <c r="Q442" s="59">
        <v>126.961</v>
      </c>
      <c r="R442" s="59">
        <v>156.80600000000001</v>
      </c>
    </row>
    <row r="443" spans="1:18" x14ac:dyDescent="0.2">
      <c r="A443" s="19">
        <v>202408</v>
      </c>
      <c r="B443" s="6">
        <f t="shared" si="6"/>
        <v>2024</v>
      </c>
      <c r="C443" s="18">
        <v>45505</v>
      </c>
      <c r="D443" s="60">
        <v>133.405</v>
      </c>
      <c r="E443" s="60">
        <v>136.18299999999999</v>
      </c>
      <c r="F443" s="60">
        <v>147.613</v>
      </c>
      <c r="G443" s="60">
        <v>118.041</v>
      </c>
      <c r="H443" s="60">
        <v>132.59100000000001</v>
      </c>
      <c r="I443" s="60">
        <v>125.19199999999999</v>
      </c>
      <c r="J443" s="60">
        <v>135.13900000000001</v>
      </c>
      <c r="K443" s="60">
        <v>138.398</v>
      </c>
      <c r="L443" s="60">
        <v>134.346</v>
      </c>
      <c r="M443" s="60">
        <v>130.90899999999999</v>
      </c>
      <c r="N443" s="60">
        <v>135.17599999999999</v>
      </c>
      <c r="O443" s="60">
        <v>145.15899999999999</v>
      </c>
      <c r="P443" s="60">
        <v>120.881</v>
      </c>
      <c r="Q443" s="60">
        <v>127.352</v>
      </c>
      <c r="R443" s="60">
        <v>156.48400000000001</v>
      </c>
    </row>
    <row r="444" spans="1:18" x14ac:dyDescent="0.2">
      <c r="A444" s="19">
        <v>202409</v>
      </c>
      <c r="B444" s="6">
        <f t="shared" si="6"/>
        <v>2024</v>
      </c>
      <c r="C444" s="18">
        <v>45536</v>
      </c>
      <c r="D444" s="61">
        <v>133.51300000000001</v>
      </c>
      <c r="E444" s="62">
        <v>136.68</v>
      </c>
      <c r="F444" s="62">
        <v>147.74299999999999</v>
      </c>
      <c r="G444" s="62">
        <v>120.514</v>
      </c>
      <c r="H444" s="62">
        <v>133.16499999999999</v>
      </c>
      <c r="I444" s="62">
        <v>125.664</v>
      </c>
      <c r="J444" s="62">
        <v>135.43700000000001</v>
      </c>
      <c r="K444" s="62">
        <v>133.327</v>
      </c>
      <c r="L444" s="62">
        <v>135.72200000000001</v>
      </c>
      <c r="M444" s="62">
        <v>131.614</v>
      </c>
      <c r="N444" s="62">
        <v>137.55699999999999</v>
      </c>
      <c r="O444" s="62">
        <v>146.04</v>
      </c>
      <c r="P444" s="62">
        <v>121.09399999999999</v>
      </c>
      <c r="Q444" s="62">
        <v>127.854</v>
      </c>
      <c r="R444" s="62">
        <v>156.322</v>
      </c>
    </row>
    <row r="445" spans="1:18" x14ac:dyDescent="0.2">
      <c r="A445" s="19">
        <v>202410</v>
      </c>
      <c r="B445" s="6">
        <f t="shared" si="6"/>
        <v>2024</v>
      </c>
      <c r="C445" s="18">
        <v>45566</v>
      </c>
      <c r="D445" s="63">
        <v>134.327</v>
      </c>
      <c r="E445" s="64">
        <v>136.87700000000001</v>
      </c>
      <c r="F445" s="64">
        <v>148.059</v>
      </c>
      <c r="G445" s="64">
        <v>121.83199999999999</v>
      </c>
      <c r="H445" s="64">
        <v>134.94999999999999</v>
      </c>
      <c r="I445" s="64">
        <v>126.30800000000001</v>
      </c>
      <c r="J445" s="64">
        <v>136.24799999999999</v>
      </c>
      <c r="K445" s="64">
        <v>133.47800000000001</v>
      </c>
      <c r="L445" s="64">
        <v>135.94800000000001</v>
      </c>
      <c r="M445" s="64">
        <v>131.489</v>
      </c>
      <c r="N445" s="64">
        <v>141.976</v>
      </c>
      <c r="O445" s="64">
        <v>146.26900000000001</v>
      </c>
      <c r="P445" s="64">
        <v>121.083</v>
      </c>
      <c r="Q445" s="64">
        <v>128.506</v>
      </c>
      <c r="R445" s="64">
        <v>170.39599999999999</v>
      </c>
    </row>
    <row r="446" spans="1:18" x14ac:dyDescent="0.2">
      <c r="A446" s="19">
        <v>202411</v>
      </c>
      <c r="B446" s="6">
        <f t="shared" si="6"/>
        <v>2024</v>
      </c>
      <c r="C446" s="20">
        <v>45597</v>
      </c>
      <c r="D446" s="65">
        <v>134.614</v>
      </c>
      <c r="E446" s="65">
        <v>137.50899999999999</v>
      </c>
      <c r="F446" s="65">
        <v>150.17500000000001</v>
      </c>
      <c r="G446" s="65">
        <v>122.61499999999999</v>
      </c>
      <c r="H446" s="65">
        <v>135.73099999999999</v>
      </c>
      <c r="I446" s="65">
        <v>126.18</v>
      </c>
      <c r="J446" s="65">
        <v>136.256</v>
      </c>
      <c r="K446" s="65">
        <v>132.40899999999999</v>
      </c>
      <c r="L446" s="65">
        <v>135.011</v>
      </c>
      <c r="M446" s="65">
        <v>131.66200000000001</v>
      </c>
      <c r="N446" s="65">
        <v>141.976</v>
      </c>
      <c r="O446" s="65">
        <v>146.363</v>
      </c>
      <c r="P446" s="65">
        <v>121.161</v>
      </c>
      <c r="Q446" s="65">
        <v>129.256</v>
      </c>
      <c r="R446" s="65">
        <v>170.25700000000001</v>
      </c>
    </row>
    <row r="447" spans="1:18" x14ac:dyDescent="0.2">
      <c r="A447" s="19">
        <v>202412</v>
      </c>
      <c r="B447" s="6">
        <f t="shared" si="6"/>
        <v>2024</v>
      </c>
      <c r="C447" s="18">
        <v>45627</v>
      </c>
      <c r="D447" s="66">
        <v>135.07</v>
      </c>
      <c r="E447" s="66">
        <v>138.16999999999999</v>
      </c>
      <c r="F447" s="66">
        <v>149.89099999999999</v>
      </c>
      <c r="G447" s="66">
        <v>121.999</v>
      </c>
      <c r="H447" s="66">
        <v>136.267</v>
      </c>
      <c r="I447" s="66">
        <v>128.06200000000001</v>
      </c>
      <c r="J447" s="66">
        <v>136.947</v>
      </c>
      <c r="K447" s="66">
        <v>133.78399999999999</v>
      </c>
      <c r="L447" s="66">
        <v>135.90600000000001</v>
      </c>
      <c r="M447" s="66">
        <v>131.61199999999999</v>
      </c>
      <c r="N447" s="66">
        <v>141.976</v>
      </c>
      <c r="O447" s="66">
        <v>146.238</v>
      </c>
      <c r="P447" s="66">
        <v>121.374</v>
      </c>
      <c r="Q447" s="66">
        <v>129.678</v>
      </c>
      <c r="R447" s="66">
        <v>170.43299999999999</v>
      </c>
    </row>
    <row r="448" spans="1:18" x14ac:dyDescent="0.2">
      <c r="A448" s="19">
        <v>202501</v>
      </c>
      <c r="B448" s="6">
        <f t="shared" si="6"/>
        <v>2024</v>
      </c>
      <c r="C448" s="18">
        <v>45658</v>
      </c>
      <c r="D448" s="67">
        <v>135.05000000000001</v>
      </c>
      <c r="E448" s="67">
        <v>139.369</v>
      </c>
      <c r="F448" s="67">
        <v>152.64099999999999</v>
      </c>
      <c r="G448" s="67">
        <v>117.97799999999999</v>
      </c>
      <c r="H448" s="67">
        <v>136.99</v>
      </c>
      <c r="I448" s="67">
        <v>125.11799999999999</v>
      </c>
      <c r="J448" s="67">
        <v>137.96899999999999</v>
      </c>
      <c r="K448" s="67">
        <v>133.131</v>
      </c>
      <c r="L448" s="67">
        <v>135.92599999999999</v>
      </c>
      <c r="M448" s="67">
        <v>132.029</v>
      </c>
      <c r="N448" s="67">
        <v>145.33600000000001</v>
      </c>
      <c r="O448" s="67">
        <v>144.77500000000001</v>
      </c>
      <c r="P448" s="67">
        <v>121.619</v>
      </c>
      <c r="Q448" s="67">
        <v>130.62</v>
      </c>
      <c r="R448" s="67">
        <v>172.852</v>
      </c>
    </row>
    <row r="449" spans="1:18" x14ac:dyDescent="0.2">
      <c r="A449" s="19">
        <v>202502</v>
      </c>
      <c r="B449" s="6">
        <f t="shared" si="6"/>
        <v>2024</v>
      </c>
      <c r="C449" s="18">
        <v>45689</v>
      </c>
      <c r="D449" s="68">
        <v>135.625</v>
      </c>
      <c r="E449" s="69">
        <v>139.684</v>
      </c>
      <c r="F449" s="69">
        <v>154.13</v>
      </c>
      <c r="G449" s="69">
        <v>117.61499999999999</v>
      </c>
      <c r="H449" s="69">
        <v>137.374</v>
      </c>
      <c r="I449" s="69">
        <v>126.44799999999999</v>
      </c>
      <c r="J449" s="69">
        <v>138.35400000000001</v>
      </c>
      <c r="K449" s="69">
        <v>134.26</v>
      </c>
      <c r="L449" s="69">
        <v>136.24</v>
      </c>
      <c r="M449" s="69">
        <v>132.18</v>
      </c>
      <c r="N449" s="69">
        <v>145.33600000000001</v>
      </c>
      <c r="O449" s="69">
        <v>146.36000000000001</v>
      </c>
      <c r="P449" s="69">
        <v>121.938</v>
      </c>
      <c r="Q449" s="69">
        <v>130.94999999999999</v>
      </c>
      <c r="R449" s="69">
        <v>172.84899999999999</v>
      </c>
    </row>
    <row r="450" spans="1:18" x14ac:dyDescent="0.2">
      <c r="A450" s="19">
        <v>202503</v>
      </c>
      <c r="B450" s="6">
        <f t="shared" si="6"/>
        <v>2024</v>
      </c>
      <c r="C450" s="18">
        <v>45717</v>
      </c>
      <c r="D450" s="70">
        <v>136.09100000000001</v>
      </c>
      <c r="E450" s="70">
        <v>139.619</v>
      </c>
      <c r="F450" s="70">
        <v>154.83000000000001</v>
      </c>
      <c r="G450" s="70">
        <v>120.32899999999999</v>
      </c>
      <c r="H450" s="70">
        <v>137.709</v>
      </c>
      <c r="I450" s="70">
        <v>127.236</v>
      </c>
      <c r="J450" s="70">
        <v>138.85900000000001</v>
      </c>
      <c r="K450" s="70">
        <v>134.399</v>
      </c>
      <c r="L450" s="70">
        <v>136.84</v>
      </c>
      <c r="M450" s="70">
        <v>132.149</v>
      </c>
      <c r="N450" s="70">
        <v>145.33600000000001</v>
      </c>
      <c r="O450" s="70">
        <v>147.32</v>
      </c>
      <c r="P450" s="70">
        <v>122.294</v>
      </c>
      <c r="Q450" s="70">
        <v>131.27600000000001</v>
      </c>
      <c r="R450" s="70">
        <v>172.46</v>
      </c>
    </row>
    <row r="451" spans="1:18" x14ac:dyDescent="0.2">
      <c r="A451" s="19">
        <v>202504</v>
      </c>
      <c r="B451" s="6">
        <f t="shared" si="6"/>
        <v>2025</v>
      </c>
      <c r="C451" s="20">
        <v>45748</v>
      </c>
      <c r="D451" s="71">
        <v>137.71199999999999</v>
      </c>
      <c r="E451" s="71">
        <v>140.58799999999999</v>
      </c>
      <c r="F451" s="71">
        <v>155.48400000000001</v>
      </c>
      <c r="G451" s="71">
        <v>119.003</v>
      </c>
      <c r="H451" s="71">
        <v>140.14500000000001</v>
      </c>
      <c r="I451" s="71">
        <v>125.01300000000001</v>
      </c>
      <c r="J451" s="71">
        <v>139.31</v>
      </c>
      <c r="K451" s="71">
        <v>139.482</v>
      </c>
      <c r="L451" s="71">
        <v>142.71700000000001</v>
      </c>
      <c r="M451" s="71">
        <v>133.78</v>
      </c>
      <c r="N451" s="71">
        <v>145.33600000000001</v>
      </c>
      <c r="O451" s="71">
        <v>148.15199999999999</v>
      </c>
      <c r="P451" s="71">
        <v>122.58</v>
      </c>
      <c r="Q451" s="71">
        <v>131.68199999999999</v>
      </c>
      <c r="R451" s="71">
        <v>180.012</v>
      </c>
    </row>
    <row r="452" spans="1:18" x14ac:dyDescent="0.2">
      <c r="A452" s="19">
        <v>202505</v>
      </c>
      <c r="B452" s="6">
        <f t="shared" si="6"/>
        <v>2025</v>
      </c>
      <c r="C452" s="20">
        <v>45778</v>
      </c>
      <c r="D452" s="72">
        <v>137.99600000000001</v>
      </c>
      <c r="E452" s="72">
        <v>141.55099999999999</v>
      </c>
      <c r="F452" s="72">
        <v>155.63300000000001</v>
      </c>
      <c r="G452" s="72">
        <v>119.904</v>
      </c>
      <c r="H452" s="72">
        <v>140.52199999999999</v>
      </c>
      <c r="I452" s="72">
        <v>126.85299999999999</v>
      </c>
      <c r="J452" s="72">
        <v>139.756</v>
      </c>
      <c r="K452" s="72">
        <v>137.00299999999999</v>
      </c>
      <c r="L452" s="72">
        <v>142.453</v>
      </c>
      <c r="M452" s="72">
        <v>134.12899999999999</v>
      </c>
      <c r="N452" s="72">
        <v>145.33600000000001</v>
      </c>
      <c r="O452" s="72">
        <v>149.304</v>
      </c>
      <c r="P452" s="72">
        <v>123.07</v>
      </c>
      <c r="Q452" s="72">
        <v>131.94499999999999</v>
      </c>
      <c r="R452" s="72">
        <v>179.82300000000001</v>
      </c>
    </row>
    <row r="453" spans="1:18" x14ac:dyDescent="0.2">
      <c r="A453" s="19">
        <v>202506</v>
      </c>
      <c r="B453" s="6">
        <f t="shared" ref="B453:B461" si="7">IF(MOD(A453,100)&gt;=4,  INT(A453/100), INT(A453/100)-1)</f>
        <v>2025</v>
      </c>
      <c r="C453" s="18">
        <v>45809</v>
      </c>
      <c r="D453" s="73">
        <v>138.428</v>
      </c>
      <c r="E453" s="73">
        <v>142.01300000000001</v>
      </c>
      <c r="F453" s="73">
        <v>156.38200000000001</v>
      </c>
      <c r="G453" s="73">
        <v>119.416</v>
      </c>
      <c r="H453" s="73">
        <v>140.81700000000001</v>
      </c>
      <c r="I453" s="73">
        <v>127.315</v>
      </c>
      <c r="J453" s="73">
        <v>140.13999999999999</v>
      </c>
      <c r="K453" s="73">
        <v>137.99299999999999</v>
      </c>
      <c r="L453" s="73">
        <v>142.49600000000001</v>
      </c>
      <c r="M453" s="73">
        <v>134.58199999999999</v>
      </c>
      <c r="N453" s="73">
        <v>145.33600000000001</v>
      </c>
      <c r="O453" s="73">
        <v>150.45400000000001</v>
      </c>
      <c r="P453" s="73">
        <v>123.044</v>
      </c>
      <c r="Q453" s="73">
        <v>132.18600000000001</v>
      </c>
      <c r="R453" s="73">
        <v>179.71</v>
      </c>
    </row>
    <row r="454" spans="1:18" x14ac:dyDescent="0.2">
      <c r="A454" s="19">
        <v>202507</v>
      </c>
      <c r="B454" s="6">
        <f t="shared" si="7"/>
        <v>2025</v>
      </c>
      <c r="C454" s="18">
        <v>45839</v>
      </c>
      <c r="D454" s="29">
        <v>138.46799999999999</v>
      </c>
      <c r="E454" s="29">
        <v>142.584</v>
      </c>
      <c r="F454" s="29">
        <v>155.946</v>
      </c>
      <c r="G454" s="29">
        <v>117.158</v>
      </c>
      <c r="H454" s="29">
        <v>140.22200000000001</v>
      </c>
      <c r="I454" s="29">
        <v>125.27800000000001</v>
      </c>
      <c r="J454" s="29">
        <v>139.16200000000001</v>
      </c>
      <c r="K454" s="29">
        <v>141.089</v>
      </c>
      <c r="L454" s="29">
        <v>142.59899999999999</v>
      </c>
      <c r="M454" s="29">
        <v>134.71799999999999</v>
      </c>
      <c r="N454" s="29">
        <v>145.33600000000001</v>
      </c>
      <c r="O454" s="29">
        <v>151.04400000000001</v>
      </c>
      <c r="P454" s="29">
        <v>123.227</v>
      </c>
      <c r="Q454" s="29">
        <v>132.72300000000001</v>
      </c>
      <c r="R454" s="29">
        <v>171.154</v>
      </c>
    </row>
    <row r="455" spans="1:18" x14ac:dyDescent="0.2">
      <c r="A455" s="19">
        <v>202508</v>
      </c>
      <c r="B455" s="6">
        <f t="shared" si="7"/>
        <v>2025</v>
      </c>
      <c r="C455" s="18">
        <v>45870</v>
      </c>
      <c r="D455" s="74">
        <v>138.86699999999999</v>
      </c>
      <c r="E455" s="74">
        <v>143.16</v>
      </c>
      <c r="F455" s="74">
        <v>156.346</v>
      </c>
      <c r="G455" s="74">
        <v>118.28100000000001</v>
      </c>
      <c r="H455" s="74">
        <v>140.58699999999999</v>
      </c>
      <c r="I455" s="74">
        <v>126.217</v>
      </c>
      <c r="J455" s="74">
        <v>139.78100000000001</v>
      </c>
      <c r="K455" s="74">
        <v>141.703</v>
      </c>
      <c r="L455" s="74">
        <v>142.51599999999999</v>
      </c>
      <c r="M455" s="74">
        <v>135.09200000000001</v>
      </c>
      <c r="N455" s="74">
        <v>145.33600000000001</v>
      </c>
      <c r="O455" s="74">
        <v>150.67099999999999</v>
      </c>
      <c r="P455" s="74">
        <v>123.614</v>
      </c>
      <c r="Q455" s="74">
        <v>133.00200000000001</v>
      </c>
      <c r="R455" s="74">
        <v>171.07900000000001</v>
      </c>
    </row>
    <row r="456" spans="1:18" x14ac:dyDescent="0.2">
      <c r="A456" s="19">
        <v>202509</v>
      </c>
      <c r="B456" s="6">
        <f t="shared" si="7"/>
        <v>2025</v>
      </c>
      <c r="C456" s="18">
        <v>45901</v>
      </c>
      <c r="D456" s="75">
        <v>138.93600000000001</v>
      </c>
      <c r="E456" s="75">
        <v>142.876</v>
      </c>
      <c r="F456" s="75">
        <v>156.33000000000001</v>
      </c>
      <c r="G456" s="75">
        <v>121.065</v>
      </c>
      <c r="H456" s="75">
        <v>141.03200000000001</v>
      </c>
      <c r="I456" s="75">
        <v>126.179</v>
      </c>
      <c r="J456" s="75">
        <v>140.11199999999999</v>
      </c>
      <c r="K456" s="75">
        <v>138.44499999999999</v>
      </c>
      <c r="L456" s="75">
        <v>142.08500000000001</v>
      </c>
      <c r="M456" s="75">
        <v>135.11699999999999</v>
      </c>
      <c r="N456" s="75">
        <v>147.45099999999999</v>
      </c>
      <c r="O456" s="75">
        <v>151.80199999999999</v>
      </c>
      <c r="P456" s="75">
        <v>123.545</v>
      </c>
      <c r="Q456" s="75">
        <v>133.376</v>
      </c>
      <c r="R456" s="75">
        <v>170.94</v>
      </c>
    </row>
    <row r="457" spans="1:18" x14ac:dyDescent="0.2">
      <c r="A457" s="19">
        <v>202510</v>
      </c>
      <c r="B457" s="6">
        <f t="shared" si="7"/>
        <v>2025</v>
      </c>
      <c r="C457" s="18">
        <v>45931</v>
      </c>
      <c r="D457" s="76">
        <v>139.45400000000001</v>
      </c>
      <c r="E457" s="76">
        <v>143.60400000000001</v>
      </c>
      <c r="F457" s="76">
        <v>156.76900000000001</v>
      </c>
      <c r="G457" s="76">
        <v>122.248</v>
      </c>
      <c r="H457" s="76">
        <v>141.66800000000001</v>
      </c>
      <c r="I457" s="76">
        <v>126.697</v>
      </c>
      <c r="J457" s="76">
        <v>139.892</v>
      </c>
      <c r="K457" s="76">
        <v>138.5</v>
      </c>
      <c r="L457" s="76">
        <v>141.84100000000001</v>
      </c>
      <c r="M457" s="76">
        <v>135.28100000000001</v>
      </c>
      <c r="N457" s="76">
        <v>152.70400000000001</v>
      </c>
      <c r="O457" s="76">
        <v>151.77500000000001</v>
      </c>
      <c r="P457" s="76">
        <v>123.81699999999999</v>
      </c>
      <c r="Q457" s="76">
        <v>133.751</v>
      </c>
      <c r="R457" s="76">
        <v>174.16800000000001</v>
      </c>
    </row>
    <row r="458" spans="1:18" x14ac:dyDescent="0.2">
      <c r="A458" s="19">
        <v>202511</v>
      </c>
      <c r="B458" s="6">
        <f t="shared" si="7"/>
        <v>2025</v>
      </c>
      <c r="C458" s="18">
        <v>45962</v>
      </c>
      <c r="D458" s="77">
        <v>139.36099999999999</v>
      </c>
      <c r="E458" s="77">
        <v>143.32900000000001</v>
      </c>
      <c r="F458" s="77">
        <v>156.12899999999999</v>
      </c>
      <c r="G458" s="77">
        <v>121.858</v>
      </c>
      <c r="H458" s="77">
        <v>142.25299999999999</v>
      </c>
      <c r="I458" s="77">
        <v>125.762</v>
      </c>
      <c r="J458" s="77">
        <v>139.74199999999999</v>
      </c>
      <c r="K458" s="77">
        <v>137.32900000000001</v>
      </c>
      <c r="L458" s="77">
        <v>141.447</v>
      </c>
      <c r="M458" s="77">
        <v>135.41999999999999</v>
      </c>
      <c r="N458" s="77">
        <v>152.70400000000001</v>
      </c>
      <c r="O458" s="77">
        <v>151.47399999999999</v>
      </c>
      <c r="P458" s="77">
        <v>123.742</v>
      </c>
      <c r="Q458" s="77">
        <v>134.15799999999999</v>
      </c>
      <c r="R458" s="77">
        <v>174.636</v>
      </c>
    </row>
    <row r="459" spans="1:18" x14ac:dyDescent="0.2">
      <c r="A459" s="19">
        <v>202512</v>
      </c>
      <c r="B459" s="6">
        <f t="shared" si="7"/>
        <v>2025</v>
      </c>
      <c r="C459" s="20">
        <v>45992</v>
      </c>
      <c r="D459" s="78">
        <v>139.892</v>
      </c>
      <c r="E459" s="78">
        <v>144.44499999999999</v>
      </c>
      <c r="F459" s="78">
        <v>157.65799999999999</v>
      </c>
      <c r="G459" s="78">
        <v>122.038</v>
      </c>
      <c r="H459" s="78">
        <v>142.47800000000001</v>
      </c>
      <c r="I459" s="78">
        <v>127.306</v>
      </c>
      <c r="J459" s="78">
        <v>139.821</v>
      </c>
      <c r="K459" s="78">
        <v>139.178</v>
      </c>
      <c r="L459" s="78">
        <v>141.56100000000001</v>
      </c>
      <c r="M459" s="78">
        <v>135.185</v>
      </c>
      <c r="N459" s="78">
        <v>152.70400000000001</v>
      </c>
      <c r="O459" s="78">
        <v>151.821</v>
      </c>
      <c r="P459" s="78">
        <v>124.059</v>
      </c>
      <c r="Q459" s="78">
        <v>134.28899999999999</v>
      </c>
      <c r="R459" s="78">
        <v>174.64099999999999</v>
      </c>
    </row>
    <row r="460" spans="1:18" x14ac:dyDescent="0.2">
      <c r="A460" s="19">
        <v>202601</v>
      </c>
      <c r="B460" s="6">
        <f t="shared" si="7"/>
        <v>2025</v>
      </c>
      <c r="C460" s="18">
        <v>46023</v>
      </c>
      <c r="D460" s="32">
        <v>139.41999999999999</v>
      </c>
      <c r="E460" s="32">
        <v>144.33199999999999</v>
      </c>
      <c r="F460" s="32">
        <v>159.72</v>
      </c>
      <c r="G460" s="32">
        <v>117.98099999999999</v>
      </c>
      <c r="H460" s="32">
        <v>142.81200000000001</v>
      </c>
      <c r="I460" s="32">
        <v>124.538</v>
      </c>
      <c r="J460" s="32">
        <v>142.26</v>
      </c>
      <c r="K460" s="32">
        <v>136.726</v>
      </c>
      <c r="L460" s="32">
        <v>142.12100000000001</v>
      </c>
      <c r="M460" s="32">
        <v>135.48500000000001</v>
      </c>
      <c r="N460" s="32">
        <v>152.70400000000001</v>
      </c>
      <c r="O460" s="32">
        <v>150.71100000000001</v>
      </c>
      <c r="P460" s="32">
        <v>124.31699999999999</v>
      </c>
      <c r="Q460" s="32">
        <v>134.696</v>
      </c>
      <c r="R460" s="32">
        <v>176.53399999999999</v>
      </c>
    </row>
    <row r="461" spans="1:18" x14ac:dyDescent="0.2">
      <c r="A461" s="21">
        <v>202602</v>
      </c>
      <c r="B461" s="6">
        <f t="shared" si="7"/>
        <v>2025</v>
      </c>
      <c r="C461" s="22">
        <v>46054</v>
      </c>
      <c r="D461" s="79">
        <v>139.96199999999999</v>
      </c>
      <c r="E461" s="79">
        <v>144.31800000000001</v>
      </c>
      <c r="F461" s="79">
        <v>159.60900000000001</v>
      </c>
      <c r="G461" s="79">
        <v>118.67</v>
      </c>
      <c r="H461" s="79">
        <v>143.16499999999999</v>
      </c>
      <c r="I461" s="79">
        <v>126.595</v>
      </c>
      <c r="J461" s="79">
        <v>142.696</v>
      </c>
      <c r="K461" s="79">
        <v>137.45500000000001</v>
      </c>
      <c r="L461" s="79">
        <v>142.047</v>
      </c>
      <c r="M461" s="79">
        <v>135.49</v>
      </c>
      <c r="N461" s="79">
        <v>152.70400000000001</v>
      </c>
      <c r="O461" s="79">
        <v>152.20099999999999</v>
      </c>
      <c r="P461" s="79">
        <v>125.057</v>
      </c>
      <c r="Q461" s="79">
        <v>135.108</v>
      </c>
      <c r="R461" s="79">
        <v>176.41200000000001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76F5-DA60-5F43-AF37-C024C9208180}">
  <dimension ref="A1:VB25"/>
  <sheetViews>
    <sheetView workbookViewId="0">
      <selection activeCell="I16" sqref="I16"/>
    </sheetView>
  </sheetViews>
  <sheetFormatPr baseColWidth="10" defaultRowHeight="16" x14ac:dyDescent="0.2"/>
  <sheetData>
    <row r="1" spans="1:34" x14ac:dyDescent="0.2">
      <c r="A1" s="83" t="s">
        <v>132</v>
      </c>
      <c r="B1" s="83" t="s">
        <v>118</v>
      </c>
      <c r="C1" s="83" t="s">
        <v>119</v>
      </c>
      <c r="D1" s="83" t="s">
        <v>120</v>
      </c>
      <c r="E1" s="83" t="s">
        <v>121</v>
      </c>
      <c r="F1" s="83" t="s">
        <v>122</v>
      </c>
      <c r="G1" s="83" t="s">
        <v>123</v>
      </c>
      <c r="H1" s="83" t="s">
        <v>124</v>
      </c>
      <c r="I1" s="83" t="s">
        <v>125</v>
      </c>
      <c r="J1" s="83" t="s">
        <v>126</v>
      </c>
      <c r="K1" s="83" t="s">
        <v>127</v>
      </c>
      <c r="L1" s="83" t="s">
        <v>128</v>
      </c>
      <c r="M1" s="83" t="s">
        <v>129</v>
      </c>
      <c r="N1" s="83" t="s">
        <v>130</v>
      </c>
      <c r="O1" s="83" t="s">
        <v>131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</row>
    <row r="2" spans="1:34" x14ac:dyDescent="0.2">
      <c r="A2" s="83">
        <v>2015</v>
      </c>
      <c r="B2" s="83">
        <f>AVERAGEIF(Monthly!$B$4:$B$461,$A2,Monthly!D$4:D$461)</f>
        <v>100.16549999999999</v>
      </c>
      <c r="C2" s="83">
        <f>AVERAGEIF(Monthly!$B$4:$B$461,$A2,Monthly!E$4:E$461)</f>
        <v>99.359833333333327</v>
      </c>
      <c r="D2" s="83">
        <f>AVERAGEIF(Monthly!$B$4:$B$461,$A2,Monthly!F$4:F$461)</f>
        <v>100.27841666666667</v>
      </c>
      <c r="E2" s="83">
        <f>AVERAGEIF(Monthly!$B$4:$B$461,$A2,Monthly!G$4:G$461)</f>
        <v>100.17075</v>
      </c>
      <c r="F2" s="83">
        <f>AVERAGEIF(Monthly!$B$4:$B$461,$A2,Monthly!H$4:H$461)</f>
        <v>100.34033333333333</v>
      </c>
      <c r="G2" s="83">
        <f>AVERAGEIF(Monthly!$B$4:$B$461,$A2,Monthly!I$4:I$461)</f>
        <v>100.0585</v>
      </c>
      <c r="H2" s="83">
        <f>AVERAGEIF(Monthly!$B$4:$B$461,$A2,Monthly!J$4:J$461)</f>
        <v>100.51175000000002</v>
      </c>
      <c r="I2" s="83">
        <f>AVERAGEIF(Monthly!$B$4:$B$461,$A2,Monthly!K$4:K$461)</f>
        <v>99.871416666666661</v>
      </c>
      <c r="J2" s="83">
        <f>AVERAGEIF(Monthly!$B$4:$B$461,$A2,Monthly!L$4:L$461)</f>
        <v>100.47616666666666</v>
      </c>
      <c r="K2" s="83">
        <f>AVERAGEIF(Monthly!$B$4:$B$461,$A2,Monthly!M$4:M$461)</f>
        <v>99.984166666666681</v>
      </c>
      <c r="L2" s="83">
        <f>AVERAGEIF(Monthly!$B$4:$B$461,$A2,Monthly!N$4:N$461)</f>
        <v>101.17858333333334</v>
      </c>
      <c r="M2" s="83">
        <f>AVERAGEIF(Monthly!$B$4:$B$461,$A2,Monthly!O$4:O$461)</f>
        <v>100.46141666666665</v>
      </c>
      <c r="N2" s="83">
        <f>AVERAGEIF(Monthly!$B$4:$B$461,$A2,Monthly!P$4:P$461)</f>
        <v>100.283</v>
      </c>
      <c r="O2" s="83">
        <f>AVERAGEIF(Monthly!$B$4:$B$461,$A2,Monthly!Q$4:Q$461)</f>
        <v>100.72233333333334</v>
      </c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</row>
    <row r="3" spans="1:34" x14ac:dyDescent="0.2">
      <c r="A3" s="83">
        <v>2016</v>
      </c>
      <c r="B3" s="83">
        <f>AVERAGEIF(Monthly!$B$4:$B$461,$A3,Monthly!D$4:D$461)</f>
        <v>101.53616666666665</v>
      </c>
      <c r="C3" s="83">
        <f>AVERAGEIF(Monthly!$B$4:$B$461,$A3,Monthly!E$4:E$461)</f>
        <v>97.686833333333325</v>
      </c>
      <c r="D3" s="83">
        <f>AVERAGEIF(Monthly!$B$4:$B$461,$A3,Monthly!F$4:F$461)</f>
        <v>102.32091666666666</v>
      </c>
      <c r="E3" s="83">
        <f>AVERAGEIF(Monthly!$B$4:$B$461,$A3,Monthly!G$4:G$461)</f>
        <v>100.24566666666668</v>
      </c>
      <c r="F3" s="83">
        <f>AVERAGEIF(Monthly!$B$4:$B$461,$A3,Monthly!H$4:H$461)</f>
        <v>102.13883333333335</v>
      </c>
      <c r="G3" s="83">
        <f>AVERAGEIF(Monthly!$B$4:$B$461,$A3,Monthly!I$4:I$461)</f>
        <v>100.10899999999999</v>
      </c>
      <c r="H3" s="83">
        <f>AVERAGEIF(Monthly!$B$4:$B$461,$A3,Monthly!J$4:J$461)</f>
        <v>102.70283333333333</v>
      </c>
      <c r="I3" s="83">
        <f>AVERAGEIF(Monthly!$B$4:$B$461,$A3,Monthly!K$4:K$461)</f>
        <v>101.86000000000001</v>
      </c>
      <c r="J3" s="83">
        <f>AVERAGEIF(Monthly!$B$4:$B$461,$A3,Monthly!L$4:L$461)</f>
        <v>103.35358333333333</v>
      </c>
      <c r="K3" s="83">
        <f>AVERAGEIF(Monthly!$B$4:$B$461,$A3,Monthly!M$4:M$461)</f>
        <v>100.79616666666668</v>
      </c>
      <c r="L3" s="83">
        <f>AVERAGEIF(Monthly!$B$4:$B$461,$A3,Monthly!N$4:N$461)</f>
        <v>105.84099999999999</v>
      </c>
      <c r="M3" s="83">
        <f>AVERAGEIF(Monthly!$B$4:$B$461,$A3,Monthly!O$4:O$461)</f>
        <v>103.16008333333333</v>
      </c>
      <c r="N3" s="83">
        <f>AVERAGEIF(Monthly!$B$4:$B$461,$A3,Monthly!P$4:P$461)</f>
        <v>101.36708333333333</v>
      </c>
      <c r="O3" s="83">
        <f>AVERAGEIF(Monthly!$B$4:$B$461,$A3,Monthly!Q$4:Q$461)</f>
        <v>102.063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</row>
    <row r="4" spans="1:34" x14ac:dyDescent="0.2">
      <c r="A4" s="83">
        <v>2017</v>
      </c>
      <c r="B4" s="83">
        <f>AVERAGEIF(Monthly!$B$4:$B$461,$A4,Monthly!D$4:D$461)</f>
        <v>104.22325000000001</v>
      </c>
      <c r="C4" s="83">
        <f>AVERAGEIF(Monthly!$B$4:$B$461,$A4,Monthly!E$4:E$461)</f>
        <v>100.62633333333332</v>
      </c>
      <c r="D4" s="83">
        <f>AVERAGEIF(Monthly!$B$4:$B$461,$A4,Monthly!F$4:F$461)</f>
        <v>107.18333333333332</v>
      </c>
      <c r="E4" s="83">
        <f>AVERAGEIF(Monthly!$B$4:$B$461,$A4,Monthly!G$4:G$461)</f>
        <v>103.45533333333333</v>
      </c>
      <c r="F4" s="83">
        <f>AVERAGEIF(Monthly!$B$4:$B$461,$A4,Monthly!H$4:H$461)</f>
        <v>104.18933333333332</v>
      </c>
      <c r="G4" s="83">
        <f>AVERAGEIF(Monthly!$B$4:$B$461,$A4,Monthly!I$4:I$461)</f>
        <v>103.22658333333332</v>
      </c>
      <c r="H4" s="83">
        <f>AVERAGEIF(Monthly!$B$4:$B$461,$A4,Monthly!J$4:J$461)</f>
        <v>105.42900000000002</v>
      </c>
      <c r="I4" s="83">
        <f>AVERAGEIF(Monthly!$B$4:$B$461,$A4,Monthly!K$4:K$461)</f>
        <v>105.66108333333331</v>
      </c>
      <c r="J4" s="83">
        <f>AVERAGEIF(Monthly!$B$4:$B$461,$A4,Monthly!L$4:L$461)</f>
        <v>104.62608333333333</v>
      </c>
      <c r="K4" s="83">
        <f>AVERAGEIF(Monthly!$B$4:$B$461,$A4,Monthly!M$4:M$461)</f>
        <v>103.28841666666666</v>
      </c>
      <c r="L4" s="83">
        <f>AVERAGEIF(Monthly!$B$4:$B$461,$A4,Monthly!N$4:N$461)</f>
        <v>109.44699999999999</v>
      </c>
      <c r="M4" s="83">
        <f>AVERAGEIF(Monthly!$B$4:$B$461,$A4,Monthly!O$4:O$461)</f>
        <v>106.31766666666668</v>
      </c>
      <c r="N4" s="83">
        <f>AVERAGEIF(Monthly!$B$4:$B$461,$A4,Monthly!P$4:P$461)</f>
        <v>102.57616666666667</v>
      </c>
      <c r="O4" s="83">
        <f>AVERAGEIF(Monthly!$B$4:$B$461,$A4,Monthly!Q$4:Q$461)</f>
        <v>102.80433333333333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 spans="1:34" x14ac:dyDescent="0.2">
      <c r="A5" s="83">
        <v>2018</v>
      </c>
      <c r="B5" s="83">
        <f>AVERAGEIF(Monthly!$B$4:$B$461,$A5,Monthly!D$4:D$461)</f>
        <v>106.42750000000001</v>
      </c>
      <c r="C5" s="83">
        <f>AVERAGEIF(Monthly!$B$4:$B$461,$A5,Monthly!E$4:E$461)</f>
        <v>102.15249999999999</v>
      </c>
      <c r="D5" s="83">
        <f>AVERAGEIF(Monthly!$B$4:$B$461,$A5,Monthly!F$4:F$461)</f>
        <v>111.80899999999998</v>
      </c>
      <c r="E5" s="83">
        <f>AVERAGEIF(Monthly!$B$4:$B$461,$A5,Monthly!G$4:G$461)</f>
        <v>103.06716666666667</v>
      </c>
      <c r="F5" s="83">
        <f>AVERAGEIF(Monthly!$B$4:$B$461,$A5,Monthly!H$4:H$461)</f>
        <v>106.02291666666669</v>
      </c>
      <c r="G5" s="83">
        <f>AVERAGEIF(Monthly!$B$4:$B$461,$A5,Monthly!I$4:I$461)</f>
        <v>104.29216666666666</v>
      </c>
      <c r="H5" s="83">
        <f>AVERAGEIF(Monthly!$B$4:$B$461,$A5,Monthly!J$4:J$461)</f>
        <v>107.94308333333335</v>
      </c>
      <c r="I5" s="83">
        <f>AVERAGEIF(Monthly!$B$4:$B$461,$A5,Monthly!K$4:K$461)</f>
        <v>110.24416666666667</v>
      </c>
      <c r="J5" s="83">
        <f>AVERAGEIF(Monthly!$B$4:$B$461,$A5,Monthly!L$4:L$461)</f>
        <v>106.54825000000001</v>
      </c>
      <c r="K5" s="83">
        <f>AVERAGEIF(Monthly!$B$4:$B$461,$A5,Monthly!M$4:M$461)</f>
        <v>106.36141666666667</v>
      </c>
      <c r="L5" s="83">
        <f>AVERAGEIF(Monthly!$B$4:$B$461,$A5,Monthly!N$4:N$461)</f>
        <v>112.71508333333334</v>
      </c>
      <c r="M5" s="83">
        <f>AVERAGEIF(Monthly!$B$4:$B$461,$A5,Monthly!O$4:O$461)</f>
        <v>109.10675000000002</v>
      </c>
      <c r="N5" s="83">
        <f>AVERAGEIF(Monthly!$B$4:$B$461,$A5,Monthly!P$4:P$461)</f>
        <v>102.5265</v>
      </c>
      <c r="O5" s="83">
        <f>AVERAGEIF(Monthly!$B$4:$B$461,$A5,Monthly!Q$4:Q$461)</f>
        <v>103.36333333333334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</row>
    <row r="6" spans="1:34" x14ac:dyDescent="0.2">
      <c r="A6" s="83">
        <v>2019</v>
      </c>
      <c r="B6" s="83">
        <f>AVERAGEIF(Monthly!$B$4:$B$461,$A6,Monthly!D$4:D$461)</f>
        <v>108.24916666666667</v>
      </c>
      <c r="C6" s="83">
        <f>AVERAGEIF(Monthly!$B$4:$B$461,$A6,Monthly!E$4:E$461)</f>
        <v>103.64933333333333</v>
      </c>
      <c r="D6" s="83">
        <f>AVERAGEIF(Monthly!$B$4:$B$461,$A6,Monthly!F$4:F$461)</f>
        <v>114.71591666666666</v>
      </c>
      <c r="E6" s="83">
        <f>AVERAGEIF(Monthly!$B$4:$B$461,$A6,Monthly!G$4:G$461)</f>
        <v>102.52391666666666</v>
      </c>
      <c r="F6" s="83">
        <f>AVERAGEIF(Monthly!$B$4:$B$461,$A6,Monthly!H$4:H$461)</f>
        <v>107.88216666666665</v>
      </c>
      <c r="G6" s="83">
        <f>AVERAGEIF(Monthly!$B$4:$B$461,$A6,Monthly!I$4:I$461)</f>
        <v>105.14791666666667</v>
      </c>
      <c r="H6" s="83">
        <f>AVERAGEIF(Monthly!$B$4:$B$461,$A6,Monthly!J$4:J$461)</f>
        <v>110.89258333333333</v>
      </c>
      <c r="I6" s="83">
        <f>AVERAGEIF(Monthly!$B$4:$B$461,$A6,Monthly!K$4:K$461)</f>
        <v>112.05733333333335</v>
      </c>
      <c r="J6" s="83">
        <f>AVERAGEIF(Monthly!$B$4:$B$461,$A6,Monthly!L$4:L$461)</f>
        <v>110.98208333333332</v>
      </c>
      <c r="K6" s="83">
        <f>AVERAGEIF(Monthly!$B$4:$B$461,$A6,Monthly!M$4:M$461)</f>
        <v>107.99141666666667</v>
      </c>
      <c r="L6" s="83">
        <f>AVERAGEIF(Monthly!$B$4:$B$461,$A6,Monthly!N$4:N$461)</f>
        <v>116.03508333333336</v>
      </c>
      <c r="M6" s="83">
        <f>AVERAGEIF(Monthly!$B$4:$B$461,$A6,Monthly!O$4:O$461)</f>
        <v>111.91091666666665</v>
      </c>
      <c r="N6" s="83">
        <f>AVERAGEIF(Monthly!$B$4:$B$461,$A6,Monthly!P$4:P$461)</f>
        <v>104.35108333333334</v>
      </c>
      <c r="O6" s="83">
        <f>AVERAGEIF(Monthly!$B$4:$B$461,$A6,Monthly!Q$4:Q$461)</f>
        <v>104.1439166666667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</row>
    <row r="7" spans="1:34" x14ac:dyDescent="0.2">
      <c r="A7" s="83">
        <v>2020</v>
      </c>
      <c r="B7" s="83">
        <f>AVERAGEIF(Monthly!$B$4:$B$461,$A7,Monthly!D$4:D$461)</f>
        <v>109.12025</v>
      </c>
      <c r="C7" s="83">
        <f>AVERAGEIF(Monthly!$B$4:$B$461,$A7,Monthly!E$4:E$461)</f>
        <v>103.80775000000001</v>
      </c>
      <c r="D7" s="83">
        <f>AVERAGEIF(Monthly!$B$4:$B$461,$A7,Monthly!F$4:F$461)</f>
        <v>117.58825</v>
      </c>
      <c r="E7" s="83">
        <f>AVERAGEIF(Monthly!$B$4:$B$461,$A7,Monthly!G$4:G$461)</f>
        <v>100.09300000000002</v>
      </c>
      <c r="F7" s="83">
        <f>AVERAGEIF(Monthly!$B$4:$B$461,$A7,Monthly!H$4:H$461)</f>
        <v>108.55033333333334</v>
      </c>
      <c r="G7" s="83">
        <f>AVERAGEIF(Monthly!$B$4:$B$461,$A7,Monthly!I$4:I$461)</f>
        <v>105.38983333333334</v>
      </c>
      <c r="H7" s="83">
        <f>AVERAGEIF(Monthly!$B$4:$B$461,$A7,Monthly!J$4:J$461)</f>
        <v>112.74474999999997</v>
      </c>
      <c r="I7" s="83">
        <f>AVERAGEIF(Monthly!$B$4:$B$461,$A7,Monthly!K$4:K$461)</f>
        <v>112.85741666666668</v>
      </c>
      <c r="J7" s="83">
        <f>AVERAGEIF(Monthly!$B$4:$B$461,$A7,Monthly!L$4:L$461)</f>
        <v>114.63116666666667</v>
      </c>
      <c r="K7" s="83">
        <f>AVERAGEIF(Monthly!$B$4:$B$461,$A7,Monthly!M$4:M$461)</f>
        <v>110.43516666666665</v>
      </c>
      <c r="L7" s="83">
        <f>AVERAGEIF(Monthly!$B$4:$B$461,$A7,Monthly!N$4:N$461)</f>
        <v>118.79841666666665</v>
      </c>
      <c r="M7" s="83">
        <f>AVERAGEIF(Monthly!$B$4:$B$461,$A7,Monthly!O$4:O$461)</f>
        <v>112.60033333333332</v>
      </c>
      <c r="N7" s="83">
        <f>AVERAGEIF(Monthly!$B$4:$B$461,$A7,Monthly!P$4:P$461)</f>
        <v>105.20324999999998</v>
      </c>
      <c r="O7" s="83">
        <f>AVERAGEIF(Monthly!$B$4:$B$461,$A7,Monthly!Q$4:Q$461)</f>
        <v>105.88483333333335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 spans="1:34" x14ac:dyDescent="0.2">
      <c r="A8" s="83">
        <v>2021</v>
      </c>
      <c r="B8" s="83">
        <f>AVERAGEIF(Monthly!$B$4:$B$461,$A8,Monthly!D$4:D$461)</f>
        <v>113.12966666666667</v>
      </c>
      <c r="C8" s="83">
        <f>AVERAGEIF(Monthly!$B$4:$B$461,$A8,Monthly!E$4:E$461)</f>
        <v>105.66408333333332</v>
      </c>
      <c r="D8" s="83">
        <f>AVERAGEIF(Monthly!$B$4:$B$461,$A8,Monthly!F$4:F$461)</f>
        <v>121.09750000000001</v>
      </c>
      <c r="E8" s="83">
        <f>AVERAGEIF(Monthly!$B$4:$B$461,$A8,Monthly!G$4:G$461)</f>
        <v>103.44716666666669</v>
      </c>
      <c r="F8" s="83">
        <f>AVERAGEIF(Monthly!$B$4:$B$461,$A8,Monthly!H$4:H$461)</f>
        <v>111.82508333333332</v>
      </c>
      <c r="G8" s="83">
        <f>AVERAGEIF(Monthly!$B$4:$B$461,$A8,Monthly!I$4:I$461)</f>
        <v>111.33216666666665</v>
      </c>
      <c r="H8" s="83">
        <f>AVERAGEIF(Monthly!$B$4:$B$461,$A8,Monthly!J$4:J$461)</f>
        <v>114.81333333333333</v>
      </c>
      <c r="I8" s="83">
        <f>AVERAGEIF(Monthly!$B$4:$B$461,$A8,Monthly!K$4:K$461)</f>
        <v>123.69483333333334</v>
      </c>
      <c r="J8" s="83">
        <f>AVERAGEIF(Monthly!$B$4:$B$461,$A8,Monthly!L$4:L$461)</f>
        <v>116.41508333333331</v>
      </c>
      <c r="K8" s="83">
        <f>AVERAGEIF(Monthly!$B$4:$B$461,$A8,Monthly!M$4:M$461)</f>
        <v>113.33258333333333</v>
      </c>
      <c r="L8" s="83">
        <f>AVERAGEIF(Monthly!$B$4:$B$461,$A8,Monthly!N$4:N$461)</f>
        <v>122.83691666666664</v>
      </c>
      <c r="M8" s="83">
        <f>AVERAGEIF(Monthly!$B$4:$B$461,$A8,Monthly!O$4:O$461)</f>
        <v>117.77583333333332</v>
      </c>
      <c r="N8" s="83">
        <f>AVERAGEIF(Monthly!$B$4:$B$461,$A8,Monthly!P$4:P$461)</f>
        <v>106.59633333333335</v>
      </c>
      <c r="O8" s="83">
        <f>AVERAGEIF(Monthly!$B$4:$B$461,$A8,Monthly!Q$4:Q$461)</f>
        <v>107.80974999999999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</row>
    <row r="9" spans="1:34" x14ac:dyDescent="0.2">
      <c r="A9" s="83">
        <v>2022</v>
      </c>
      <c r="B9" s="83">
        <f>AVERAGEIF(Monthly!$B$4:$B$461,$A9,Monthly!D$4:D$461)</f>
        <v>123.04399999999998</v>
      </c>
      <c r="C9" s="83">
        <f>AVERAGEIF(Monthly!$B$4:$B$461,$A9,Monthly!E$4:E$461)</f>
        <v>120.66683333333333</v>
      </c>
      <c r="D9" s="83">
        <f>AVERAGEIF(Monthly!$B$4:$B$461,$A9,Monthly!F$4:F$461)</f>
        <v>127.25466666666669</v>
      </c>
      <c r="E9" s="83">
        <f>AVERAGEIF(Monthly!$B$4:$B$461,$A9,Monthly!G$4:G$461)</f>
        <v>111.01149999999997</v>
      </c>
      <c r="F9" s="83">
        <f>AVERAGEIF(Monthly!$B$4:$B$461,$A9,Monthly!H$4:H$461)</f>
        <v>123.4155833333333</v>
      </c>
      <c r="G9" s="83">
        <f>AVERAGEIF(Monthly!$B$4:$B$461,$A9,Monthly!I$4:I$461)</f>
        <v>122.45841666666666</v>
      </c>
      <c r="H9" s="83">
        <f>AVERAGEIF(Monthly!$B$4:$B$461,$A9,Monthly!J$4:J$461)</f>
        <v>119.34825000000001</v>
      </c>
      <c r="I9" s="83">
        <f>AVERAGEIF(Monthly!$B$4:$B$461,$A9,Monthly!K$4:K$461)</f>
        <v>135.10224999999997</v>
      </c>
      <c r="J9" s="83">
        <f>AVERAGEIF(Monthly!$B$4:$B$461,$A9,Monthly!L$4:L$461)</f>
        <v>119.66116666666669</v>
      </c>
      <c r="K9" s="83">
        <f>AVERAGEIF(Monthly!$B$4:$B$461,$A9,Monthly!M$4:M$461)</f>
        <v>119.14958333333334</v>
      </c>
      <c r="L9" s="83">
        <f>AVERAGEIF(Monthly!$B$4:$B$461,$A9,Monthly!N$4:N$461)</f>
        <v>127.50683333333335</v>
      </c>
      <c r="M9" s="83">
        <f>AVERAGEIF(Monthly!$B$4:$B$461,$A9,Monthly!O$4:O$461)</f>
        <v>129.26033333333331</v>
      </c>
      <c r="N9" s="83">
        <f>AVERAGEIF(Monthly!$B$4:$B$461,$A9,Monthly!P$4:P$461)</f>
        <v>111.73</v>
      </c>
      <c r="O9" s="83">
        <f>AVERAGEIF(Monthly!$B$4:$B$461,$A9,Monthly!Q$4:Q$461)</f>
        <v>112.18416666666667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spans="1:34" x14ac:dyDescent="0.2">
      <c r="A10" s="83">
        <v>2023</v>
      </c>
      <c r="B10" s="83">
        <f>AVERAGEIF(Monthly!$B$4:$B$461,$A10,Monthly!D$4:D$461)</f>
        <v>129.87941666666669</v>
      </c>
      <c r="C10" s="83">
        <f>AVERAGEIF(Monthly!$B$4:$B$461,$A10,Monthly!E$4:E$461)</f>
        <v>134.33116666666666</v>
      </c>
      <c r="D10" s="83">
        <f>AVERAGEIF(Monthly!$B$4:$B$461,$A10,Monthly!F$4:F$461)</f>
        <v>140.86641666666665</v>
      </c>
      <c r="E10" s="83">
        <f>AVERAGEIF(Monthly!$B$4:$B$461,$A10,Monthly!G$4:G$461)</f>
        <v>117.85725000000001</v>
      </c>
      <c r="F10" s="83">
        <f>AVERAGEIF(Monthly!$B$4:$B$461,$A10,Monthly!H$4:H$461)</f>
        <v>128.80408333333335</v>
      </c>
      <c r="G10" s="83">
        <f>AVERAGEIF(Monthly!$B$4:$B$461,$A10,Monthly!I$4:I$461)</f>
        <v>126.90808333333332</v>
      </c>
      <c r="H10" s="83">
        <f>AVERAGEIF(Monthly!$B$4:$B$461,$A10,Monthly!J$4:J$461)</f>
        <v>128.66024999999999</v>
      </c>
      <c r="I10" s="83">
        <f>AVERAGEIF(Monthly!$B$4:$B$461,$A10,Monthly!K$4:K$461)</f>
        <v>134.63233333333332</v>
      </c>
      <c r="J10" s="83">
        <f>AVERAGEIF(Monthly!$B$4:$B$461,$A10,Monthly!L$4:L$461)</f>
        <v>129.17991666666668</v>
      </c>
      <c r="K10" s="83">
        <f>AVERAGEIF(Monthly!$B$4:$B$461,$A10,Monthly!M$4:M$461)</f>
        <v>126.51691666666666</v>
      </c>
      <c r="L10" s="83">
        <f>AVERAGEIF(Monthly!$B$4:$B$461,$A10,Monthly!N$4:N$461)</f>
        <v>132.48083333333329</v>
      </c>
      <c r="M10" s="83">
        <f>AVERAGEIF(Monthly!$B$4:$B$461,$A10,Monthly!O$4:O$461)</f>
        <v>139.75333333333336</v>
      </c>
      <c r="N10" s="83">
        <f>AVERAGEIF(Monthly!$B$4:$B$461,$A10,Monthly!P$4:P$461)</f>
        <v>117.30658333333334</v>
      </c>
      <c r="O10" s="83">
        <f>AVERAGEIF(Monthly!$B$4:$B$461,$A10,Monthly!Q$4:Q$461)</f>
        <v>119.24366666666664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spans="1:34" x14ac:dyDescent="0.2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</row>
    <row r="12" spans="1:34" x14ac:dyDescent="0.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</row>
    <row r="13" spans="1:34" x14ac:dyDescent="0.2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</row>
    <row r="14" spans="1:34" x14ac:dyDescent="0.2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4" x14ac:dyDescent="0.2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4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574" x14ac:dyDescent="0.2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574" x14ac:dyDescent="0.2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574" x14ac:dyDescent="0.2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</row>
    <row r="20" spans="1:574" x14ac:dyDescent="0.2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</row>
    <row r="21" spans="1:574" x14ac:dyDescent="0.2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</row>
    <row r="22" spans="1:574" ht="17" x14ac:dyDescent="0.25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VB22" s="82">
        <f>AVERAGEIF(Monthly!$B$4:$B$461,$A2,Monthly!D$4:D$461)</f>
        <v>100.16549999999999</v>
      </c>
    </row>
    <row r="23" spans="1:574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</row>
    <row r="24" spans="1:574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</row>
    <row r="25" spans="1:574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90F7-3BE6-A64F-8333-62671F03D732}">
  <dimension ref="A1:AE85"/>
  <sheetViews>
    <sheetView tabSelected="1" workbookViewId="0">
      <selection activeCell="M15" sqref="M15"/>
    </sheetView>
  </sheetViews>
  <sheetFormatPr baseColWidth="10" defaultRowHeight="16" x14ac:dyDescent="0.2"/>
  <sheetData>
    <row r="1" spans="1:31" x14ac:dyDescent="0.2">
      <c r="A1" s="83" t="s">
        <v>132</v>
      </c>
      <c r="B1" s="83" t="s">
        <v>118</v>
      </c>
      <c r="C1" s="83" t="s">
        <v>119</v>
      </c>
      <c r="D1" s="83" t="s">
        <v>120</v>
      </c>
      <c r="E1" s="83" t="s">
        <v>121</v>
      </c>
      <c r="F1" s="83" t="s">
        <v>122</v>
      </c>
      <c r="G1" s="83" t="s">
        <v>123</v>
      </c>
      <c r="H1" s="83" t="s">
        <v>124</v>
      </c>
      <c r="I1" s="83" t="s">
        <v>125</v>
      </c>
      <c r="J1" s="83" t="s">
        <v>126</v>
      </c>
      <c r="K1" s="83" t="s">
        <v>127</v>
      </c>
      <c r="L1" s="83" t="s">
        <v>128</v>
      </c>
      <c r="M1" s="83" t="s">
        <v>129</v>
      </c>
      <c r="N1" s="83" t="s">
        <v>130</v>
      </c>
      <c r="O1" s="83" t="s">
        <v>131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</row>
    <row r="2" spans="1:31" x14ac:dyDescent="0.2">
      <c r="A2" s="83">
        <v>2015</v>
      </c>
      <c r="B2" s="83">
        <f>('Financial Year Averages'!B3-'Financial Year Averages'!B2)/'Financial Year Averages'!B2*100</f>
        <v>1.3684019614204999</v>
      </c>
      <c r="C2" s="83">
        <f>('Financial Year Averages'!C3-'Financial Year Averages'!C2)/'Financial Year Averages'!C2*100</f>
        <v>-1.6837789918461368</v>
      </c>
      <c r="D2" s="83">
        <f>('Financial Year Averages'!D3-'Financial Year Averages'!D2)/'Financial Year Averages'!D2*100</f>
        <v>2.0368291282354609</v>
      </c>
      <c r="E2" s="83">
        <f>('Financial Year Averages'!E3-'Financial Year Averages'!E2)/'Financial Year Averages'!E2*100</f>
        <v>7.4788964509780509E-2</v>
      </c>
      <c r="F2" s="83">
        <f>('Financial Year Averages'!F3-'Financial Year Averages'!F2)/'Financial Year Averages'!F2*100</f>
        <v>1.7923998657901126</v>
      </c>
      <c r="G2" s="83">
        <f>('Financial Year Averages'!G3-'Financial Year Averages'!G2)/'Financial Year Averages'!G2*100</f>
        <v>5.047047477225778E-2</v>
      </c>
      <c r="H2" s="83">
        <f>('Financial Year Averages'!H3-'Financial Year Averages'!H2)/'Financial Year Averages'!H2*100</f>
        <v>2.1799275540753293</v>
      </c>
      <c r="I2" s="83">
        <f>('Financial Year Averages'!I3-'Financial Year Averages'!I2)/'Financial Year Averages'!I2*100</f>
        <v>1.9911436121613231</v>
      </c>
      <c r="J2" s="83">
        <f>('Financial Year Averages'!J3-'Financial Year Averages'!J2)/'Financial Year Averages'!J2*100</f>
        <v>2.8637802994740142</v>
      </c>
      <c r="K2" s="83">
        <f>('Financial Year Averages'!K3-'Financial Year Averages'!K2)/'Financial Year Averages'!K2*100</f>
        <v>0.81212858702627666</v>
      </c>
      <c r="L2" s="83">
        <f>('Financial Year Averages'!L3-'Financial Year Averages'!L2)/'Financial Year Averages'!L2*100</f>
        <v>4.6081062939044157</v>
      </c>
      <c r="M2" s="83">
        <f>('Financial Year Averages'!M3-'Financial Year Averages'!M2)/'Financial Year Averages'!M2*100</f>
        <v>2.686271761049241</v>
      </c>
      <c r="N2" s="83">
        <f>('Financial Year Averages'!N3-'Financial Year Averages'!N2)/'Financial Year Averages'!N2*100</f>
        <v>1.0810240353133882</v>
      </c>
      <c r="O2" s="83">
        <f>('Financial Year Averages'!O3-'Financial Year Averages'!O2)/'Financial Year Averages'!O2*100</f>
        <v>1.3310520341400587</v>
      </c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1:31" x14ac:dyDescent="0.2">
      <c r="A3" s="83">
        <v>2016</v>
      </c>
      <c r="B3" s="83">
        <f>('Financial Year Averages'!B4-'Financial Year Averages'!B3)/'Financial Year Averages'!B3*100</f>
        <v>2.6464297614807495</v>
      </c>
      <c r="C3" s="83">
        <f>('Financial Year Averages'!C4-'Financial Year Averages'!C3)/'Financial Year Averages'!C3*100</f>
        <v>3.0091056283600102</v>
      </c>
      <c r="D3" s="83">
        <f>('Financial Year Averages'!D4-'Financial Year Averages'!D3)/'Financial Year Averages'!D3*100</f>
        <v>4.7521238326148643</v>
      </c>
      <c r="E3" s="83">
        <f>('Financial Year Averages'!E4-'Financial Year Averages'!E3)/'Financial Year Averages'!E3*100</f>
        <v>3.2018009090999602</v>
      </c>
      <c r="F3" s="83">
        <f>('Financial Year Averages'!F4-'Financial Year Averages'!F3)/'Financial Year Averages'!F3*100</f>
        <v>2.0075616032426167</v>
      </c>
      <c r="G3" s="83">
        <f>('Financial Year Averages'!G4-'Financial Year Averages'!G3)/'Financial Year Averages'!G3*100</f>
        <v>3.1141888674677891</v>
      </c>
      <c r="H3" s="83">
        <f>('Financial Year Averages'!H4-'Financial Year Averages'!H3)/'Financial Year Averages'!H3*100</f>
        <v>2.6544220623579218</v>
      </c>
      <c r="I3" s="83">
        <f>('Financial Year Averages'!I4-'Financial Year Averages'!I3)/'Financial Year Averages'!I3*100</f>
        <v>3.7316741933372226</v>
      </c>
      <c r="J3" s="83">
        <f>('Financial Year Averages'!J4-'Financial Year Averages'!J3)/'Financial Year Averages'!J3*100</f>
        <v>1.231210335393945</v>
      </c>
      <c r="K3" s="83">
        <f>('Financial Year Averages'!K4-'Financial Year Averages'!K3)/'Financial Year Averages'!K3*100</f>
        <v>2.4725642674903154</v>
      </c>
      <c r="L3" s="83">
        <f>('Financial Year Averages'!L4-'Financial Year Averages'!L3)/'Financial Year Averages'!L3*100</f>
        <v>3.4069972883854036</v>
      </c>
      <c r="M3" s="83">
        <f>('Financial Year Averages'!M4-'Financial Year Averages'!M3)/'Financial Year Averages'!M3*100</f>
        <v>3.0608576799327412</v>
      </c>
      <c r="N3" s="83">
        <f>('Financial Year Averages'!N4-'Financial Year Averages'!N3)/'Financial Year Averages'!N3*100</f>
        <v>1.1927770767137649</v>
      </c>
      <c r="O3" s="83">
        <f>('Financial Year Averages'!O4-'Financial Year Averages'!O3)/'Financial Year Averages'!O3*100</f>
        <v>0.72634875844657687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</row>
    <row r="4" spans="1:31" x14ac:dyDescent="0.2">
      <c r="A4" s="83">
        <v>2017</v>
      </c>
      <c r="B4" s="83">
        <f>('Financial Year Averages'!B5-'Financial Year Averages'!B4)/'Financial Year Averages'!B4*100</f>
        <v>2.1149311693887896</v>
      </c>
      <c r="C4" s="83">
        <f>('Financial Year Averages'!C5-'Financial Year Averages'!C4)/'Financial Year Averages'!C4*100</f>
        <v>1.5166672739740115</v>
      </c>
      <c r="D4" s="83">
        <f>('Financial Year Averages'!D5-'Financial Year Averages'!D4)/'Financial Year Averages'!D4*100</f>
        <v>4.3156585290001503</v>
      </c>
      <c r="E4" s="83">
        <f>('Financial Year Averages'!E5-'Financial Year Averages'!E4)/'Financial Year Averages'!E4*100</f>
        <v>-0.37520218065122785</v>
      </c>
      <c r="F4" s="83">
        <f>('Financial Year Averages'!F5-'Financial Year Averages'!F4)/'Financial Year Averages'!F4*100</f>
        <v>1.7598570551048403</v>
      </c>
      <c r="G4" s="83">
        <f>('Financial Year Averages'!G5-'Financial Year Averages'!G4)/'Financial Year Averages'!G4*100</f>
        <v>1.0322760852138406</v>
      </c>
      <c r="H4" s="83">
        <f>('Financial Year Averages'!H5-'Financial Year Averages'!H4)/'Financial Year Averages'!H4*100</f>
        <v>2.3846221943993888</v>
      </c>
      <c r="I4" s="83">
        <f>('Financial Year Averages'!I5-'Financial Year Averages'!I4)/'Financial Year Averages'!I4*100</f>
        <v>4.3375320304779796</v>
      </c>
      <c r="J4" s="83">
        <f>('Financial Year Averages'!J5-'Financial Year Averages'!J4)/'Financial Year Averages'!J4*100</f>
        <v>1.8371773131779761</v>
      </c>
      <c r="K4" s="83">
        <f>('Financial Year Averages'!K5-'Financial Year Averages'!K4)/'Financial Year Averages'!K4*100</f>
        <v>2.9751642044404858</v>
      </c>
      <c r="L4" s="83">
        <f>('Financial Year Averages'!L5-'Financial Year Averages'!L4)/'Financial Year Averages'!L4*100</f>
        <v>2.985996266077052</v>
      </c>
      <c r="M4" s="83">
        <f>('Financial Year Averages'!M5-'Financial Year Averages'!M4)/'Financial Year Averages'!M4*100</f>
        <v>2.6233488946647348</v>
      </c>
      <c r="N4" s="83">
        <f>('Financial Year Averages'!N5-'Financial Year Averages'!N4)/'Financial Year Averages'!N4*100</f>
        <v>-4.8419304679287394E-2</v>
      </c>
      <c r="O4" s="83">
        <f>('Financial Year Averages'!O5-'Financial Year Averages'!O4)/'Financial Year Averages'!O4*100</f>
        <v>0.54375139828737284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</row>
    <row r="5" spans="1:31" x14ac:dyDescent="0.2">
      <c r="A5" s="83">
        <v>2018</v>
      </c>
      <c r="B5" s="83">
        <f>('Financial Year Averages'!B6-'Financial Year Averages'!B5)/'Financial Year Averages'!B5*100</f>
        <v>1.7116503409989505</v>
      </c>
      <c r="C5" s="83">
        <f>('Financial Year Averages'!C6-'Financial Year Averages'!C5)/'Financial Year Averages'!C5*100</f>
        <v>1.4652929035837028</v>
      </c>
      <c r="D5" s="83">
        <f>('Financial Year Averages'!D6-'Financial Year Averages'!D5)/'Financial Year Averages'!D5*100</f>
        <v>2.5998950591335892</v>
      </c>
      <c r="E5" s="83">
        <f>('Financial Year Averages'!E6-'Financial Year Averages'!E5)/'Financial Year Averages'!E5*100</f>
        <v>-0.52708347145793322</v>
      </c>
      <c r="F5" s="83">
        <f>('Financial Year Averages'!F6-'Financial Year Averages'!F5)/'Financial Year Averages'!F5*100</f>
        <v>1.7536303079129529</v>
      </c>
      <c r="G5" s="83">
        <f>('Financial Year Averages'!G6-'Financial Year Averages'!G5)/'Financial Year Averages'!G5*100</f>
        <v>0.82053142374069132</v>
      </c>
      <c r="H5" s="83">
        <f>('Financial Year Averages'!H6-'Financial Year Averages'!H5)/'Financial Year Averages'!H5*100</f>
        <v>2.7324585410366597</v>
      </c>
      <c r="I5" s="83">
        <f>('Financial Year Averages'!I6-'Financial Year Averages'!I5)/'Financial Year Averages'!I5*100</f>
        <v>1.6446826362694997</v>
      </c>
      <c r="J5" s="83">
        <f>('Financial Year Averages'!J6-'Financial Year Averages'!J5)/'Financial Year Averages'!J5*100</f>
        <v>4.1613384859284981</v>
      </c>
      <c r="K5" s="83">
        <f>('Financial Year Averages'!K6-'Financial Year Averages'!K5)/'Financial Year Averages'!K5*100</f>
        <v>1.5325106143596829</v>
      </c>
      <c r="L5" s="83">
        <f>('Financial Year Averages'!L6-'Financial Year Averages'!L5)/'Financial Year Averages'!L5*100</f>
        <v>2.9454797901197973</v>
      </c>
      <c r="M5" s="83">
        <f>('Financial Year Averages'!M6-'Financial Year Averages'!M5)/'Financial Year Averages'!M5*100</f>
        <v>2.5701129092990405</v>
      </c>
      <c r="N5" s="83">
        <f>('Financial Year Averages'!N6-'Financial Year Averages'!N5)/'Financial Year Averages'!N5*100</f>
        <v>1.7796212036237817</v>
      </c>
      <c r="O5" s="83">
        <f>('Financial Year Averages'!O6-'Financial Year Averages'!O5)/'Financial Year Averages'!O5*100</f>
        <v>0.75518397884487132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</row>
    <row r="6" spans="1:31" x14ac:dyDescent="0.2">
      <c r="A6" s="83">
        <v>2019</v>
      </c>
      <c r="B6" s="83">
        <f>('Financial Year Averages'!B7-'Financial Year Averages'!B6)/'Financial Year Averages'!B6*100</f>
        <v>0.80470211471989572</v>
      </c>
      <c r="C6" s="83">
        <f>('Financial Year Averages'!C7-'Financial Year Averages'!C6)/'Financial Year Averages'!C6*100</f>
        <v>0.15283905990713728</v>
      </c>
      <c r="D6" s="83">
        <f>('Financial Year Averages'!D7-'Financial Year Averages'!D6)/'Financial Year Averages'!D6*100</f>
        <v>2.5038664352738129</v>
      </c>
      <c r="E6" s="83">
        <f>('Financial Year Averages'!E7-'Financial Year Averages'!E6)/'Financial Year Averages'!E6*100</f>
        <v>-2.3710727659480892</v>
      </c>
      <c r="F6" s="83">
        <f>('Financial Year Averages'!F7-'Financial Year Averages'!F6)/'Financial Year Averages'!F6*100</f>
        <v>0.61934857939142818</v>
      </c>
      <c r="G6" s="83">
        <f>('Financial Year Averages'!G7-'Financial Year Averages'!G6)/'Financial Year Averages'!G6*100</f>
        <v>0.23007271502447105</v>
      </c>
      <c r="H6" s="83">
        <f>('Financial Year Averages'!H7-'Financial Year Averages'!H6)/'Financial Year Averages'!H6*100</f>
        <v>1.6702349345575112</v>
      </c>
      <c r="I6" s="83">
        <f>('Financial Year Averages'!I7-'Financial Year Averages'!I6)/'Financial Year Averages'!I6*100</f>
        <v>0.7139946218007448</v>
      </c>
      <c r="J6" s="83">
        <f>('Financial Year Averages'!J7-'Financial Year Averages'!J6)/'Financial Year Averages'!J6*100</f>
        <v>3.28799318208271</v>
      </c>
      <c r="K6" s="83">
        <f>('Financial Year Averages'!K7-'Financial Year Averages'!K6)/'Financial Year Averages'!K6*100</f>
        <v>2.2629113270576102</v>
      </c>
      <c r="L6" s="83">
        <f>('Financial Year Averages'!L7-'Financial Year Averages'!L6)/'Financial Year Averages'!L6*100</f>
        <v>2.3814636521568913</v>
      </c>
      <c r="M6" s="83">
        <f>('Financial Year Averages'!M7-'Financial Year Averages'!M6)/'Financial Year Averages'!M6*100</f>
        <v>0.61604058585289057</v>
      </c>
      <c r="N6" s="83">
        <f>('Financial Year Averages'!N7-'Financial Year Averages'!N6)/'Financial Year Averages'!N6*100</f>
        <v>0.81663423075784802</v>
      </c>
      <c r="O6" s="83">
        <f>('Financial Year Averages'!O7-'Financial Year Averages'!O6)/'Financial Year Averages'!O6*100</f>
        <v>1.6716450872870463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</row>
    <row r="7" spans="1:31" x14ac:dyDescent="0.2">
      <c r="A7" s="83">
        <v>2020</v>
      </c>
      <c r="B7" s="83">
        <f>('Financial Year Averages'!B8-'Financial Year Averages'!B7)/'Financial Year Averages'!B7*100</f>
        <v>3.674310374716578</v>
      </c>
      <c r="C7" s="83">
        <f>('Financial Year Averages'!C8-'Financial Year Averages'!C7)/'Financial Year Averages'!C7*100</f>
        <v>1.7882415651368131</v>
      </c>
      <c r="D7" s="83">
        <f>('Financial Year Averages'!D8-'Financial Year Averages'!D7)/'Financial Year Averages'!D7*100</f>
        <v>2.9843543041077734</v>
      </c>
      <c r="E7" s="83">
        <f>('Financial Year Averages'!E8-'Financial Year Averages'!E7)/'Financial Year Averages'!E7*100</f>
        <v>3.3510501899899801</v>
      </c>
      <c r="F7" s="83">
        <f>('Financial Year Averages'!F8-'Financial Year Averages'!F7)/'Financial Year Averages'!F7*100</f>
        <v>3.0168032648448642</v>
      </c>
      <c r="G7" s="83">
        <f>('Financial Year Averages'!G8-'Financial Year Averages'!G7)/'Financial Year Averages'!G7*100</f>
        <v>5.6384312844850388</v>
      </c>
      <c r="H7" s="83">
        <f>('Financial Year Averages'!H8-'Financial Year Averages'!H7)/'Financial Year Averages'!H7*100</f>
        <v>1.8347491420517277</v>
      </c>
      <c r="I7" s="83">
        <f>('Financial Year Averages'!I8-'Financial Year Averages'!I7)/'Financial Year Averages'!I7*100</f>
        <v>9.6027509637898447</v>
      </c>
      <c r="J7" s="83">
        <f>('Financial Year Averages'!J8-'Financial Year Averages'!J7)/'Financial Year Averages'!J7*100</f>
        <v>1.5562230748763568</v>
      </c>
      <c r="K7" s="83">
        <f>('Financial Year Averages'!K8-'Financial Year Averages'!K7)/'Financial Year Averages'!K7*100</f>
        <v>2.623635888930326</v>
      </c>
      <c r="L7" s="83">
        <f>('Financial Year Averages'!L8-'Financial Year Averages'!L7)/'Financial Year Averages'!L7*100</f>
        <v>3.3994560814152139</v>
      </c>
      <c r="M7" s="83">
        <f>('Financial Year Averages'!M8-'Financial Year Averages'!M7)/'Financial Year Averages'!M7*100</f>
        <v>4.5963451854790245</v>
      </c>
      <c r="N7" s="83">
        <f>('Financial Year Averages'!N8-'Financial Year Averages'!N7)/'Financial Year Averages'!N7*100</f>
        <v>1.3241827921983071</v>
      </c>
      <c r="O7" s="83">
        <f>('Financial Year Averages'!O8-'Financial Year Averages'!O7)/'Financial Year Averages'!O7*100</f>
        <v>1.8179342650584014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</row>
    <row r="8" spans="1:31" x14ac:dyDescent="0.2">
      <c r="A8" s="83">
        <v>2021</v>
      </c>
      <c r="B8" s="83">
        <f>('Financial Year Averages'!B9-'Financial Year Averages'!B8)/'Financial Year Averages'!B8*100</f>
        <v>8.7636900429890048</v>
      </c>
      <c r="C8" s="83">
        <f>('Financial Year Averages'!C9-'Financial Year Averages'!C8)/'Financial Year Averages'!C8*100</f>
        <v>14.198533244897952</v>
      </c>
      <c r="D8" s="83">
        <f>('Financial Year Averages'!D9-'Financial Year Averages'!D8)/'Financial Year Averages'!D8*100</f>
        <v>5.0844705024188626</v>
      </c>
      <c r="E8" s="83">
        <f>('Financial Year Averages'!E9-'Financial Year Averages'!E8)/'Financial Year Averages'!E8*100</f>
        <v>7.3122672926436971</v>
      </c>
      <c r="F8" s="83">
        <f>('Financial Year Averages'!F9-'Financial Year Averages'!F8)/'Financial Year Averages'!F8*100</f>
        <v>10.364848077466201</v>
      </c>
      <c r="G8" s="83">
        <f>('Financial Year Averages'!G9-'Financial Year Averages'!G8)/'Financial Year Averages'!G8*100</f>
        <v>9.9937424493969385</v>
      </c>
      <c r="H8" s="83">
        <f>('Financial Year Averages'!H9-'Financial Year Averages'!H8)/'Financial Year Averages'!H8*100</f>
        <v>3.9498170944141284</v>
      </c>
      <c r="I8" s="83">
        <f>('Financial Year Averages'!I9-'Financial Year Averages'!I8)/'Financial Year Averages'!I8*100</f>
        <v>9.2222256655828794</v>
      </c>
      <c r="J8" s="83">
        <f>('Financial Year Averages'!J9-'Financial Year Averages'!J8)/'Financial Year Averages'!J8*100</f>
        <v>2.7883700637303219</v>
      </c>
      <c r="K8" s="83">
        <f>('Financial Year Averages'!K9-'Financial Year Averages'!K8)/'Financial Year Averages'!K8*100</f>
        <v>5.1326810250950254</v>
      </c>
      <c r="L8" s="83">
        <f>('Financial Year Averages'!L9-'Financial Year Averages'!L8)/'Financial Year Averages'!L8*100</f>
        <v>3.801720845321372</v>
      </c>
      <c r="M8" s="83">
        <f>('Financial Year Averages'!M9-'Financial Year Averages'!M8)/'Financial Year Averages'!M8*100</f>
        <v>9.7511515520303274</v>
      </c>
      <c r="N8" s="83">
        <f>('Financial Year Averages'!N9-'Financial Year Averages'!N8)/'Financial Year Averages'!N8*100</f>
        <v>4.8159880421152588</v>
      </c>
      <c r="O8" s="83">
        <f>('Financial Year Averages'!O9-'Financial Year Averages'!O8)/'Financial Year Averages'!O8*100</f>
        <v>4.0575334481961756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</row>
    <row r="9" spans="1:31" x14ac:dyDescent="0.2">
      <c r="A9" s="83">
        <v>2022</v>
      </c>
      <c r="B9" s="83">
        <f>('Financial Year Averages'!B10-'Financial Year Averages'!B9)/'Financial Year Averages'!B9*100</f>
        <v>5.5552620742715639</v>
      </c>
      <c r="C9" s="83">
        <f>('Financial Year Averages'!C10-'Financial Year Averages'!C9)/'Financial Year Averages'!C9*100</f>
        <v>11.324017508263109</v>
      </c>
      <c r="D9" s="83">
        <f>('Financial Year Averages'!D10-'Financial Year Averages'!D9)/'Financial Year Averages'!D9*100</f>
        <v>10.696464307792214</v>
      </c>
      <c r="E9" s="83">
        <f>('Financial Year Averages'!E10-'Financial Year Averages'!E9)/'Financial Year Averages'!E9*100</f>
        <v>6.1667034496426405</v>
      </c>
      <c r="F9" s="83">
        <f>('Financial Year Averages'!F10-'Financial Year Averages'!F9)/'Financial Year Averages'!F9*100</f>
        <v>4.3661423091492786</v>
      </c>
      <c r="G9" s="83">
        <f>('Financial Year Averages'!G10-'Financial Year Averages'!G9)/'Financial Year Averages'!G9*100</f>
        <v>3.6336144038010119</v>
      </c>
      <c r="H9" s="83">
        <f>('Financial Year Averages'!H10-'Financial Year Averages'!H9)/'Financial Year Averages'!H9*100</f>
        <v>7.8023766582249703</v>
      </c>
      <c r="I9" s="83">
        <f>('Financial Year Averages'!I10-'Financial Year Averages'!I9)/'Financial Year Averages'!I9*100</f>
        <v>-0.34782297605454288</v>
      </c>
      <c r="J9" s="83">
        <f>('Financial Year Averages'!J10-'Financial Year Averages'!J9)/'Financial Year Averages'!J9*100</f>
        <v>7.9547527950448931</v>
      </c>
      <c r="K9" s="83">
        <f>('Financial Year Averages'!K10-'Financial Year Averages'!K9)/'Financial Year Averages'!K9*100</f>
        <v>6.1832640343545648</v>
      </c>
      <c r="L9" s="83">
        <f>('Financial Year Averages'!L10-'Financial Year Averages'!L9)/'Financial Year Averages'!L9*100</f>
        <v>3.9009673991328144</v>
      </c>
      <c r="M9" s="83">
        <f>('Financial Year Averages'!M10-'Financial Year Averages'!M9)/'Financial Year Averages'!M9*100</f>
        <v>8.1177262423894323</v>
      </c>
      <c r="N9" s="83">
        <f>('Financial Year Averages'!N10-'Financial Year Averages'!N9)/'Financial Year Averages'!N9*100</f>
        <v>4.9911244368865404</v>
      </c>
      <c r="O9" s="83">
        <f>('Financial Year Averages'!O10-'Financial Year Averages'!O9)/'Financial Year Averages'!O9*100</f>
        <v>6.2927775012813489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</row>
    <row r="10" spans="1:31" x14ac:dyDescent="0.2">
      <c r="A10" s="83">
        <v>2023</v>
      </c>
      <c r="B10" s="83">
        <f>('Financial Year Averages'!B11-'Financial Year Averages'!B10)/'Financial Year Averages'!B10*100</f>
        <v>-100</v>
      </c>
      <c r="C10" s="83">
        <f>('Financial Year Averages'!C11-'Financial Year Averages'!C10)/'Financial Year Averages'!C10*100</f>
        <v>-100</v>
      </c>
      <c r="D10" s="83">
        <f>('Financial Year Averages'!D11-'Financial Year Averages'!D10)/'Financial Year Averages'!D10*100</f>
        <v>-100</v>
      </c>
      <c r="E10" s="83">
        <f>('Financial Year Averages'!E11-'Financial Year Averages'!E10)/'Financial Year Averages'!E10*100</f>
        <v>-100</v>
      </c>
      <c r="F10" s="83">
        <f>('Financial Year Averages'!F11-'Financial Year Averages'!F10)/'Financial Year Averages'!F10*100</f>
        <v>-100</v>
      </c>
      <c r="G10" s="83">
        <f>('Financial Year Averages'!G11-'Financial Year Averages'!G10)/'Financial Year Averages'!G10*100</f>
        <v>-100</v>
      </c>
      <c r="H10" s="83">
        <f>('Financial Year Averages'!H11-'Financial Year Averages'!H10)/'Financial Year Averages'!H10*100</f>
        <v>-100</v>
      </c>
      <c r="I10" s="83">
        <f>('Financial Year Averages'!I11-'Financial Year Averages'!I10)/'Financial Year Averages'!I10*100</f>
        <v>-100</v>
      </c>
      <c r="J10" s="83">
        <f>('Financial Year Averages'!J11-'Financial Year Averages'!J10)/'Financial Year Averages'!J10*100</f>
        <v>-100</v>
      </c>
      <c r="K10" s="83">
        <f>('Financial Year Averages'!K11-'Financial Year Averages'!K10)/'Financial Year Averages'!K10*100</f>
        <v>-100</v>
      </c>
      <c r="L10" s="83">
        <f>('Financial Year Averages'!L11-'Financial Year Averages'!L10)/'Financial Year Averages'!L10*100</f>
        <v>-100</v>
      </c>
      <c r="M10" s="83">
        <f>('Financial Year Averages'!M11-'Financial Year Averages'!M10)/'Financial Year Averages'!M10*100</f>
        <v>-100</v>
      </c>
      <c r="N10" s="83">
        <f>('Financial Year Averages'!N11-'Financial Year Averages'!N10)/'Financial Year Averages'!N10*100</f>
        <v>-100</v>
      </c>
      <c r="O10" s="83">
        <f>('Financial Year Averages'!O11-'Financial Year Averages'!O10)/'Financial Year Averages'!O10*100</f>
        <v>-100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</row>
    <row r="11" spans="1:31" x14ac:dyDescent="0.2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</row>
    <row r="12" spans="1:31" x14ac:dyDescent="0.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x14ac:dyDescent="0.2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</row>
    <row r="14" spans="1:31" x14ac:dyDescent="0.2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</row>
    <row r="15" spans="1:31" x14ac:dyDescent="0.2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</row>
    <row r="16" spans="1:31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</row>
    <row r="17" spans="1:31" x14ac:dyDescent="0.2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</row>
    <row r="18" spans="1:31" x14ac:dyDescent="0.2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</row>
    <row r="19" spans="1:31" x14ac:dyDescent="0.2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</row>
    <row r="20" spans="1:31" x14ac:dyDescent="0.2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</row>
    <row r="21" spans="1:31" x14ac:dyDescent="0.2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</row>
    <row r="22" spans="1:31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</row>
    <row r="23" spans="1:31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</row>
    <row r="24" spans="1:31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</row>
    <row r="25" spans="1:31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</row>
    <row r="26" spans="1:31" x14ac:dyDescent="0.2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</row>
    <row r="28" spans="1:31" x14ac:dyDescent="0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</row>
    <row r="29" spans="1:31" x14ac:dyDescent="0.2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</row>
    <row r="30" spans="1:31" x14ac:dyDescent="0.2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</row>
    <row r="31" spans="1:31" x14ac:dyDescent="0.2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</row>
    <row r="32" spans="1:31" x14ac:dyDescent="0.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</row>
    <row r="33" spans="1:31" x14ac:dyDescent="0.2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</row>
    <row r="34" spans="1:31" x14ac:dyDescent="0.2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</row>
    <row r="35" spans="1:31" x14ac:dyDescent="0.2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</row>
    <row r="36" spans="1:3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</row>
    <row r="37" spans="1:31" x14ac:dyDescent="0.2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</row>
    <row r="38" spans="1:31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x14ac:dyDescent="0.2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</row>
    <row r="40" spans="1:31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</row>
    <row r="41" spans="1:31" x14ac:dyDescent="0.2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</row>
    <row r="42" spans="1:31" x14ac:dyDescent="0.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</row>
    <row r="43" spans="1:31" x14ac:dyDescent="0.2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</row>
    <row r="44" spans="1:31" x14ac:dyDescent="0.2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</row>
    <row r="45" spans="1:31" x14ac:dyDescent="0.2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</row>
    <row r="46" spans="1:31" x14ac:dyDescent="0.2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</row>
    <row r="47" spans="1:31" x14ac:dyDescent="0.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</row>
    <row r="48" spans="1:31" x14ac:dyDescent="0.2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</row>
    <row r="49" spans="1:31" x14ac:dyDescent="0.2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</row>
    <row r="50" spans="1:31" x14ac:dyDescent="0.2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</row>
    <row r="51" spans="1:31" x14ac:dyDescent="0.2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</row>
    <row r="52" spans="1:31" x14ac:dyDescent="0.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</row>
    <row r="53" spans="1:31" x14ac:dyDescent="0.2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</row>
    <row r="54" spans="1:31" x14ac:dyDescent="0.2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</row>
    <row r="55" spans="1:31" x14ac:dyDescent="0.2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</row>
    <row r="56" spans="1:31" x14ac:dyDescent="0.2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</row>
    <row r="57" spans="1:31" x14ac:dyDescent="0.2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</row>
    <row r="58" spans="1:31" x14ac:dyDescent="0.2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</row>
    <row r="59" spans="1:31" x14ac:dyDescent="0.2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</row>
    <row r="60" spans="1:31" x14ac:dyDescent="0.2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</row>
    <row r="61" spans="1:31" x14ac:dyDescent="0.2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</row>
    <row r="62" spans="1:31" x14ac:dyDescent="0.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</row>
    <row r="63" spans="1:31" x14ac:dyDescent="0.2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</row>
    <row r="64" spans="1:31" x14ac:dyDescent="0.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</row>
    <row r="65" spans="1:31" x14ac:dyDescent="0.2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</row>
    <row r="66" spans="1:31" x14ac:dyDescent="0.2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</row>
    <row r="67" spans="1:31" x14ac:dyDescent="0.2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</row>
    <row r="68" spans="1:3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</row>
    <row r="69" spans="1:31" x14ac:dyDescent="0.2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</row>
    <row r="70" spans="1:31" x14ac:dyDescent="0.2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</row>
    <row r="71" spans="1:3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</row>
    <row r="72" spans="1:31" x14ac:dyDescent="0.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</row>
    <row r="73" spans="1:31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</row>
    <row r="74" spans="1:31" x14ac:dyDescent="0.2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</row>
    <row r="75" spans="1:31" x14ac:dyDescent="0.2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</row>
    <row r="76" spans="1:31" x14ac:dyDescent="0.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</row>
    <row r="77" spans="1:31" x14ac:dyDescent="0.2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</row>
    <row r="78" spans="1:31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</row>
    <row r="79" spans="1:31" x14ac:dyDescent="0.2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</row>
    <row r="80" spans="1:31" x14ac:dyDescent="0.2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</row>
    <row r="81" spans="1:31" x14ac:dyDescent="0.2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</row>
    <row r="82" spans="1:31" x14ac:dyDescent="0.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</row>
    <row r="83" spans="1:31" x14ac:dyDescent="0.2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</row>
    <row r="84" spans="1:3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</row>
    <row r="85" spans="1:31" x14ac:dyDescent="0.2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Financial Year Averages</vt:lpstr>
      <vt:lpstr>Financial Year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Onett Perera</dc:creator>
  <cp:lastModifiedBy>Onett Perera</cp:lastModifiedBy>
  <dcterms:created xsi:type="dcterms:W3CDTF">2026-04-04T16:47:25Z</dcterms:created>
  <dcterms:modified xsi:type="dcterms:W3CDTF">2026-04-04T18:02:23Z</dcterms:modified>
</cp:coreProperties>
</file>