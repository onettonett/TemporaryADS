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nettperera/Desktop/ADS_Easter/Manual/"/>
    </mc:Choice>
  </mc:AlternateContent>
  <xr:revisionPtr revIDLastSave="0" documentId="13_ncr:1_{77FBEF93-7358-864E-BFE1-65F6174C1F41}" xr6:coauthVersionLast="47" xr6:coauthVersionMax="47" xr10:uidLastSave="{00000000-0000-0000-0000-000000000000}"/>
  <bookViews>
    <workbookView xWindow="0" yWindow="660" windowWidth="30240" windowHeight="18980" xr2:uid="{DB7339DC-776C-7146-823E-72FB74BD9368}"/>
  </bookViews>
  <sheets>
    <sheet name="HCI Tenure" sheetId="1" r:id="rId1"/>
    <sheet name="HCI Financial Year Averages" sheetId="3" r:id="rId2"/>
    <sheet name="HCI Annual Changes" sheetId="4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4" i="1" l="1"/>
  <c r="B168" i="1"/>
  <c r="B167" i="1"/>
  <c r="B215" i="1"/>
  <c r="B216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" i="3" l="1"/>
  <c r="B3" i="3"/>
  <c r="B2" i="4" s="1"/>
  <c r="C3" i="3"/>
  <c r="C2" i="4" s="1"/>
  <c r="D3" i="3"/>
  <c r="D2" i="4" s="1"/>
  <c r="E3" i="3"/>
  <c r="E2" i="4" s="1"/>
  <c r="B4" i="3"/>
  <c r="B3" i="4" s="1"/>
  <c r="C4" i="3"/>
  <c r="C3" i="4" s="1"/>
  <c r="D4" i="3"/>
  <c r="D3" i="4" s="1"/>
  <c r="E4" i="3"/>
  <c r="E3" i="4" s="1"/>
  <c r="B5" i="3"/>
  <c r="C5" i="3"/>
  <c r="D5" i="3"/>
  <c r="D4" i="4" s="1"/>
  <c r="E5" i="3"/>
  <c r="E4" i="4" s="1"/>
  <c r="B6" i="3"/>
  <c r="B5" i="4" s="1"/>
  <c r="C6" i="3"/>
  <c r="C5" i="4" s="1"/>
  <c r="D6" i="3"/>
  <c r="B7" i="3"/>
  <c r="C7" i="3"/>
  <c r="D7" i="3"/>
  <c r="E7" i="3"/>
  <c r="B8" i="3"/>
  <c r="B7" i="4" s="1"/>
  <c r="C8" i="3"/>
  <c r="D8" i="3"/>
  <c r="E8" i="3"/>
  <c r="E7" i="4" s="1"/>
  <c r="B9" i="3"/>
  <c r="C9" i="3"/>
  <c r="C8" i="4" s="1"/>
  <c r="D9" i="3"/>
  <c r="D8" i="4" s="1"/>
  <c r="E9" i="3"/>
  <c r="E8" i="4" s="1"/>
  <c r="B10" i="3"/>
  <c r="B9" i="4" s="1"/>
  <c r="C10" i="3"/>
  <c r="C9" i="4" s="1"/>
  <c r="D10" i="3"/>
  <c r="B11" i="3"/>
  <c r="B10" i="4" s="1"/>
  <c r="C11" i="3"/>
  <c r="C10" i="4" s="1"/>
  <c r="D11" i="3"/>
  <c r="D10" i="4" s="1"/>
  <c r="E11" i="3"/>
  <c r="B12" i="3"/>
  <c r="B11" i="4" s="1"/>
  <c r="C12" i="3"/>
  <c r="C11" i="4" s="1"/>
  <c r="D12" i="3"/>
  <c r="E12" i="3"/>
  <c r="B13" i="3"/>
  <c r="C13" i="3"/>
  <c r="C12" i="4" s="1"/>
  <c r="D13" i="3"/>
  <c r="D12" i="4" s="1"/>
  <c r="E13" i="3"/>
  <c r="E12" i="4" s="1"/>
  <c r="B14" i="3"/>
  <c r="C14" i="3"/>
  <c r="D14" i="3"/>
  <c r="B15" i="3"/>
  <c r="C15" i="3"/>
  <c r="C14" i="4" s="1"/>
  <c r="D15" i="3"/>
  <c r="D14" i="4" s="1"/>
  <c r="E15" i="3"/>
  <c r="B16" i="3"/>
  <c r="B15" i="4" s="1"/>
  <c r="C16" i="3"/>
  <c r="C15" i="4" s="1"/>
  <c r="D16" i="3"/>
  <c r="D15" i="4" s="1"/>
  <c r="E16" i="3"/>
  <c r="E15" i="4" s="1"/>
  <c r="B17" i="3"/>
  <c r="B16" i="4" s="1"/>
  <c r="C17" i="3"/>
  <c r="C16" i="4" s="1"/>
  <c r="D17" i="3"/>
  <c r="D16" i="4" s="1"/>
  <c r="E17" i="3"/>
  <c r="B18" i="3"/>
  <c r="C18" i="3"/>
  <c r="D18" i="3"/>
  <c r="D17" i="4" s="1"/>
  <c r="C19" i="3"/>
  <c r="C18" i="4" s="1"/>
  <c r="D19" i="3"/>
  <c r="D18" i="4" s="1"/>
  <c r="E19" i="3"/>
  <c r="C2" i="3"/>
  <c r="D2" i="3"/>
  <c r="E2" i="3"/>
  <c r="B14" i="4"/>
  <c r="B19" i="3"/>
  <c r="E6" i="3"/>
  <c r="E10" i="3"/>
  <c r="E14" i="3"/>
  <c r="E18" i="3"/>
  <c r="B4" i="4" l="1"/>
  <c r="C4" i="4"/>
  <c r="D5" i="4"/>
  <c r="B6" i="4"/>
  <c r="C6" i="4"/>
  <c r="C7" i="4"/>
  <c r="B8" i="4"/>
  <c r="D9" i="4"/>
  <c r="D11" i="4"/>
  <c r="E11" i="4"/>
  <c r="B12" i="4"/>
  <c r="B13" i="4"/>
  <c r="C13" i="4"/>
  <c r="D13" i="4"/>
  <c r="E16" i="4"/>
  <c r="B17" i="4"/>
  <c r="C17" i="4"/>
  <c r="B18" i="4"/>
  <c r="D6" i="4"/>
  <c r="D7" i="4"/>
  <c r="E6" i="4"/>
  <c r="E5" i="4"/>
  <c r="E10" i="4"/>
  <c r="E9" i="4"/>
  <c r="E14" i="4"/>
  <c r="E13" i="4"/>
  <c r="E18" i="4"/>
  <c r="E17" i="4"/>
</calcChain>
</file>

<file path=xl/sharedStrings.xml><?xml version="1.0" encoding="utf-8"?>
<sst xmlns="http://schemas.openxmlformats.org/spreadsheetml/2006/main" count="226" uniqueCount="216">
  <si>
    <t>Feb-2007</t>
  </si>
  <si>
    <t>Mar-2007</t>
  </si>
  <si>
    <t>Apr-2007</t>
  </si>
  <si>
    <t>May-2007</t>
  </si>
  <si>
    <t>Jun-2007</t>
  </si>
  <si>
    <t>Jul-2007</t>
  </si>
  <si>
    <t>Aug-2007</t>
  </si>
  <si>
    <t>Sep-2007</t>
  </si>
  <si>
    <t>Oct-2007</t>
  </si>
  <si>
    <t>Nov-2007</t>
  </si>
  <si>
    <t>Dec-2007</t>
  </si>
  <si>
    <t>Jan-2008</t>
  </si>
  <si>
    <t>Feb-2008</t>
  </si>
  <si>
    <t>Mar-2008</t>
  </si>
  <si>
    <t>Apr-2008</t>
  </si>
  <si>
    <t>May-2008</t>
  </si>
  <si>
    <t>Jun-2008</t>
  </si>
  <si>
    <t>Jul-2008</t>
  </si>
  <si>
    <t>Aug-2008</t>
  </si>
  <si>
    <t>Sep-2008</t>
  </si>
  <si>
    <t>Nov-2008</t>
  </si>
  <si>
    <t>Dec-2008</t>
  </si>
  <si>
    <t>Jan-2009</t>
  </si>
  <si>
    <t>Feb-2009</t>
  </si>
  <si>
    <t>Mar-2009</t>
  </si>
  <si>
    <t>Apr-2009</t>
  </si>
  <si>
    <t>May-2009</t>
  </si>
  <si>
    <t>Jun-2009</t>
  </si>
  <si>
    <t>Jul-2009</t>
  </si>
  <si>
    <t>Aug-2009</t>
  </si>
  <si>
    <t>Sep-2009</t>
  </si>
  <si>
    <t>Oct-2009</t>
  </si>
  <si>
    <t>Nov-2009</t>
  </si>
  <si>
    <t>Dec-2009</t>
  </si>
  <si>
    <t>Jan-2010</t>
  </si>
  <si>
    <t>Feb-2010</t>
  </si>
  <si>
    <t>Mar-2010</t>
  </si>
  <si>
    <t>Apr-2010</t>
  </si>
  <si>
    <t>May-2010</t>
  </si>
  <si>
    <t>Jun-2010</t>
  </si>
  <si>
    <t>Jul-2010</t>
  </si>
  <si>
    <t>Aug-2010</t>
  </si>
  <si>
    <t>Sep-2010</t>
  </si>
  <si>
    <t>Oct-2010</t>
  </si>
  <si>
    <t>Nov-2010</t>
  </si>
  <si>
    <t>Dec-2010</t>
  </si>
  <si>
    <t>Jan-2011</t>
  </si>
  <si>
    <t>Feb-2011</t>
  </si>
  <si>
    <t>Mar-2011</t>
  </si>
  <si>
    <t>Apr-2011</t>
  </si>
  <si>
    <t>May-2011</t>
  </si>
  <si>
    <t>Jun-2011</t>
  </si>
  <si>
    <t>Jul-2011</t>
  </si>
  <si>
    <t>Aug-2011</t>
  </si>
  <si>
    <t>Sep-2011</t>
  </si>
  <si>
    <t>Oct-2011</t>
  </si>
  <si>
    <t>Nov-2011</t>
  </si>
  <si>
    <t>Dec-2011</t>
  </si>
  <si>
    <t>Jan-2012</t>
  </si>
  <si>
    <t>Feb-2012</t>
  </si>
  <si>
    <t>Mar-2012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</si>
  <si>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</si>
  <si>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</si>
  <si>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</si>
  <si>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</si>
  <si>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</si>
  <si>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</si>
  <si>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</si>
  <si>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</si>
  <si>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</si>
  <si>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</si>
  <si>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</si>
  <si>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</si>
  <si>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</si>
  <si>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</si>
  <si>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</si>
  <si>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</si>
  <si>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</si>
  <si>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</si>
  <si>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</si>
  <si>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</si>
  <si>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</si>
  <si>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</si>
  <si>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</si>
  <si>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</si>
  <si>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</si>
  <si>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</si>
  <si>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</si>
  <si>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</si>
  <si>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</si>
  <si>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</si>
  <si>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</si>
  <si>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</si>
  <si>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</si>
  <si>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</si>
  <si>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</si>
  <si>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</si>
  <si>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</si>
  <si>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</si>
  <si>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</si>
  <si>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</si>
  <si>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</si>
  <si>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</si>
  <si>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</si>
  <si>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</si>
  <si>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</si>
  <si>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</si>
  <si>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</si>
  <si>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</si>
  <si>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</si>
  <si>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</si>
  <si>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</si>
  <si>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</si>
  <si>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</si>
  <si>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</si>
  <si>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</si>
  <si>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</si>
  <si>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</si>
  <si>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</si>
  <si>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</si>
  <si>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</si>
  <si>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</si>
  <si>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</si>
  <si>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</si>
  <si>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</si>
  <si>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</si>
  <si>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</si>
  <si>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</si>
  <si>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</si>
  <si>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</si>
  <si>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</si>
  <si>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</si>
  <si>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</si>
  <si>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</si>
  <si>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</si>
  <si>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</si>
  <si>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</si>
  <si>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</si>
  <si>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</si>
  <si>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</si>
  <si>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</si>
  <si>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</si>
  <si>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</si>
  <si>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</si>
  <si>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</si>
  <si>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</si>
  <si>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</si>
  <si>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</si>
  <si>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</si>
  <si>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</si>
  <si>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</si>
  <si>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</si>
  <si>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</si>
  <si>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</si>
  <si>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</si>
  <si>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</si>
  <si>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</si>
  <si>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</si>
  <si>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</si>
  <si>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</si>
  <si>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</si>
  <si>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</si>
  <si>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</si>
  <si>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</si>
  <si>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</si>
  <si>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</si>
  <si>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</si>
  <si>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</si>
  <si>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</si>
  <si>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</si>
  <si>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</si>
  <si>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</si>
  <si>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</si>
  <si>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</si>
  <si>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</si>
  <si>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</si>
  <si>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</si>
  <si>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</si>
  <si>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</si>
  <si>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</si>
  <si>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</si>
  <si>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</si>
  <si>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</si>
  <si>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</si>
  <si>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</si>
  <si>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</si>
  <si>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</si>
  <si>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</si>
  <si>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</si>
  <si>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</si>
  <si>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</si>
  <si>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</si>
  <si>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</si>
  <si>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</si>
  <si>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</si>
  <si>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</si>
  <si>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</si>
  <si>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</si>
  <si>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</si>
  <si>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</si>
  <si>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</si>
  <si>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</si>
  <si>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</si>
  <si>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</si>
  <si>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</si>
  <si>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</si>
  <si>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</si>
  <si>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</si>
  <si>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</si>
  <si>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</si>
  <si>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Date</t>
  </si>
  <si>
    <t>Mortgagor</t>
  </si>
  <si>
    <t>Outright owner</t>
  </si>
  <si>
    <t>Private renter</t>
  </si>
  <si>
    <t>Social renter</t>
  </si>
  <si>
    <t>Financial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</si>
</sst>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name val="Arial"/>
      <family val="2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horizontal="right" wrapText="1"/>
    </xf>
    <xf numFmtId="164" fontId="2" fillId="0" borderId="0" xfId="0" applyNumberFormat="1" applyFont="1" applyAlignment="1">
      <alignment horizontal="right" wrapText="1"/>
    </xf>
    <xf numFmtId="17" fontId="2" fillId="0" borderId="0" xfId="0" applyNumberFormat="1" applyFont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D16-AAAA-614E-B7FD-FA331075B719}">
  <dimension ref="A1:F228"/>
  <sheetViews>
    <sheetView tabSelected="1" topLeftCell="A194" zoomScale="133" workbookViewId="0">
      <selection activeCell="H217" sqref="H217"/>
    </sheetView>
  </sheetViews>
  <sheetFormatPr baseColWidth="10" defaultRowHeight="16" x14ac:dyDescent="0.2"/>
  <cols>
    <col min="1" max="1" width="13" customWidth="1"/>
    <col min="2" max="2" width="14.6640625" customWidth="1"/>
    <col min="3" max="3" width="11.83203125" customWidth="1"/>
    <col min="4" max="4" width="16.33203125" customWidth="1"/>
    <col min="5" max="5" width="14.83203125" customWidth="1"/>
    <col min="6" max="6" width="13.33203125" customWidth="1"/>
  </cols>
  <sheetData>
    <row r="1" spans="1:6" ht="17" x14ac:dyDescent="0.2">
      <c r="A1" s="1" t="s">
        <v>210</v>
      </c>
      <c r="B1" s="1" t="s">
        <v>215</v>
      </c>
      <c r="C1" s="1" t="s">
        <v>211</v>
      </c>
      <c r="D1" s="1" t="s">
        <v>212</v>
      </c>
      <c r="E1" s="1" t="s">
        <v>213</v>
      </c>
      <c r="F1" s="1" t="s">
        <v>214</v>
      </c>
    </row>
    <row r="2" spans="1:6" ht="17" x14ac:dyDescent="0.2">
      <c r="A2" s="2" t="s">
        <v>0</v>
      </c>
      <c r="B2" s="2">
        <f t="shared" ref="B2:B41" si="0">IF(MONTH(DATEVALUE(A2))&gt;=4, YEAR(DATEVALUE(A2)), YEAR(DATEVALUE(A2))-1)</f>
        <v>2006</v>
      </c>
      <c r="C2" s="3">
        <v>85.8</v>
      </c>
      <c r="D2" s="3">
        <v>79.5</v>
      </c>
      <c r="E2" s="3">
        <v>82.5</v>
      </c>
      <c r="F2" s="3">
        <v>77</v>
      </c>
    </row>
    <row r="3" spans="1:6" ht="17" x14ac:dyDescent="0.2">
      <c r="A3" s="2" t="s">
        <v>1</v>
      </c>
      <c r="B3" s="2">
        <f t="shared" si="0"/>
        <v>2006</v>
      </c>
      <c r="C3" s="3">
        <v>86.3</v>
      </c>
      <c r="D3" s="3">
        <v>79.8</v>
      </c>
      <c r="E3" s="3">
        <v>82.7</v>
      </c>
      <c r="F3" s="3">
        <v>77.3</v>
      </c>
    </row>
    <row r="4" spans="1:6" ht="17" x14ac:dyDescent="0.2">
      <c r="A4" s="2" t="s">
        <v>2</v>
      </c>
      <c r="B4" s="2">
        <f t="shared" si="0"/>
        <v>2007</v>
      </c>
      <c r="C4" s="3">
        <v>86.7</v>
      </c>
      <c r="D4" s="3">
        <v>80.3</v>
      </c>
      <c r="E4" s="3">
        <v>83.1</v>
      </c>
      <c r="F4" s="3">
        <v>78</v>
      </c>
    </row>
    <row r="5" spans="1:6" ht="17" x14ac:dyDescent="0.2">
      <c r="A5" s="2" t="s">
        <v>3</v>
      </c>
      <c r="B5" s="2">
        <f t="shared" si="0"/>
        <v>2007</v>
      </c>
      <c r="C5" s="3">
        <v>86.9</v>
      </c>
      <c r="D5" s="3">
        <v>80.5</v>
      </c>
      <c r="E5" s="3">
        <v>83.3</v>
      </c>
      <c r="F5" s="3">
        <v>78.099999999999994</v>
      </c>
    </row>
    <row r="6" spans="1:6" ht="17" x14ac:dyDescent="0.2">
      <c r="A6" s="2" t="s">
        <v>4</v>
      </c>
      <c r="B6" s="2">
        <f t="shared" si="0"/>
        <v>2007</v>
      </c>
      <c r="C6" s="3">
        <v>87.4</v>
      </c>
      <c r="D6" s="3">
        <v>80.599999999999994</v>
      </c>
      <c r="E6" s="3">
        <v>83.5</v>
      </c>
      <c r="F6" s="3">
        <v>78.2</v>
      </c>
    </row>
    <row r="7" spans="1:6" ht="17" x14ac:dyDescent="0.2">
      <c r="A7" s="2" t="s">
        <v>5</v>
      </c>
      <c r="B7" s="2">
        <f t="shared" si="0"/>
        <v>2007</v>
      </c>
      <c r="C7" s="3">
        <v>87.1</v>
      </c>
      <c r="D7" s="3">
        <v>80.099999999999994</v>
      </c>
      <c r="E7" s="3">
        <v>83.2</v>
      </c>
      <c r="F7" s="3">
        <v>77.8</v>
      </c>
    </row>
    <row r="8" spans="1:6" ht="17" x14ac:dyDescent="0.2">
      <c r="A8" s="2" t="s">
        <v>6</v>
      </c>
      <c r="B8" s="2">
        <f t="shared" si="0"/>
        <v>2007</v>
      </c>
      <c r="C8" s="3">
        <v>87.7</v>
      </c>
      <c r="D8" s="3">
        <v>80.400000000000006</v>
      </c>
      <c r="E8" s="3">
        <v>83.5</v>
      </c>
      <c r="F8" s="3">
        <v>78.099999999999994</v>
      </c>
    </row>
    <row r="9" spans="1:6" ht="17" x14ac:dyDescent="0.2">
      <c r="A9" s="2" t="s">
        <v>7</v>
      </c>
      <c r="B9" s="2">
        <f t="shared" si="0"/>
        <v>2007</v>
      </c>
      <c r="C9" s="3">
        <v>87.9</v>
      </c>
      <c r="D9" s="3">
        <v>80.599999999999994</v>
      </c>
      <c r="E9" s="3">
        <v>83.4</v>
      </c>
      <c r="F9" s="3">
        <v>78.2</v>
      </c>
    </row>
    <row r="10" spans="1:6" ht="17" x14ac:dyDescent="0.2">
      <c r="A10" s="2" t="s">
        <v>8</v>
      </c>
      <c r="B10" s="2">
        <f t="shared" si="0"/>
        <v>2007</v>
      </c>
      <c r="C10" s="3">
        <v>88.3</v>
      </c>
      <c r="D10" s="3">
        <v>80.900000000000006</v>
      </c>
      <c r="E10" s="3">
        <v>83.8</v>
      </c>
      <c r="F10" s="3">
        <v>78.400000000000006</v>
      </c>
    </row>
    <row r="11" spans="1:6" ht="17" x14ac:dyDescent="0.2">
      <c r="A11" s="2" t="s">
        <v>9</v>
      </c>
      <c r="B11" s="2">
        <f t="shared" si="0"/>
        <v>2007</v>
      </c>
      <c r="C11" s="3">
        <v>88.6</v>
      </c>
      <c r="D11" s="3">
        <v>81.2</v>
      </c>
      <c r="E11" s="3">
        <v>83.9</v>
      </c>
      <c r="F11" s="3">
        <v>78.599999999999994</v>
      </c>
    </row>
    <row r="12" spans="1:6" ht="17" x14ac:dyDescent="0.2">
      <c r="A12" s="2" t="s">
        <v>10</v>
      </c>
      <c r="B12" s="2">
        <f t="shared" si="0"/>
        <v>2007</v>
      </c>
      <c r="C12" s="3">
        <v>89</v>
      </c>
      <c r="D12" s="3">
        <v>81.599999999999994</v>
      </c>
      <c r="E12" s="3">
        <v>84.3</v>
      </c>
      <c r="F12" s="3">
        <v>79</v>
      </c>
    </row>
    <row r="13" spans="1:6" ht="17" x14ac:dyDescent="0.2">
      <c r="A13" s="2" t="s">
        <v>11</v>
      </c>
      <c r="B13" s="2">
        <f t="shared" si="0"/>
        <v>2007</v>
      </c>
      <c r="C13" s="3">
        <v>88.4</v>
      </c>
      <c r="D13" s="3">
        <v>81.400000000000006</v>
      </c>
      <c r="E13" s="3">
        <v>84.1</v>
      </c>
      <c r="F13" s="3">
        <v>78.7</v>
      </c>
    </row>
    <row r="14" spans="1:6" ht="17" x14ac:dyDescent="0.2">
      <c r="A14" s="2" t="s">
        <v>12</v>
      </c>
      <c r="B14" s="2">
        <f t="shared" si="0"/>
        <v>2007</v>
      </c>
      <c r="C14" s="3">
        <v>89</v>
      </c>
      <c r="D14" s="3">
        <v>82.2</v>
      </c>
      <c r="E14" s="3">
        <v>84.6</v>
      </c>
      <c r="F14" s="3">
        <v>79.400000000000006</v>
      </c>
    </row>
    <row r="15" spans="1:6" ht="17" x14ac:dyDescent="0.2">
      <c r="A15" s="2" t="s">
        <v>13</v>
      </c>
      <c r="B15" s="2">
        <f t="shared" si="0"/>
        <v>2007</v>
      </c>
      <c r="C15" s="3">
        <v>89.1</v>
      </c>
      <c r="D15" s="3">
        <v>82.5</v>
      </c>
      <c r="E15" s="3">
        <v>84.8</v>
      </c>
      <c r="F15" s="3">
        <v>79.599999999999994</v>
      </c>
    </row>
    <row r="16" spans="1:6" ht="17" x14ac:dyDescent="0.2">
      <c r="A16" s="2" t="s">
        <v>14</v>
      </c>
      <c r="B16" s="2">
        <f t="shared" si="0"/>
        <v>2008</v>
      </c>
      <c r="C16" s="3">
        <v>89.8</v>
      </c>
      <c r="D16" s="3">
        <v>83.4</v>
      </c>
      <c r="E16" s="3">
        <v>85.5</v>
      </c>
      <c r="F16" s="3">
        <v>80.8</v>
      </c>
    </row>
    <row r="17" spans="1:6" ht="17" x14ac:dyDescent="0.2">
      <c r="A17" s="2" t="s">
        <v>15</v>
      </c>
      <c r="B17" s="2">
        <f t="shared" si="0"/>
        <v>2008</v>
      </c>
      <c r="C17" s="3">
        <v>90.1</v>
      </c>
      <c r="D17" s="3">
        <v>84</v>
      </c>
      <c r="E17" s="3">
        <v>86</v>
      </c>
      <c r="F17" s="3">
        <v>81.2</v>
      </c>
    </row>
    <row r="18" spans="1:6" ht="17" x14ac:dyDescent="0.2">
      <c r="A18" s="2" t="s">
        <v>16</v>
      </c>
      <c r="B18" s="2">
        <f t="shared" si="0"/>
        <v>2008</v>
      </c>
      <c r="C18" s="3">
        <v>90.6</v>
      </c>
      <c r="D18" s="3">
        <v>84.5</v>
      </c>
      <c r="E18" s="3">
        <v>86.5</v>
      </c>
      <c r="F18" s="3">
        <v>81.599999999999994</v>
      </c>
    </row>
    <row r="19" spans="1:6" ht="17" x14ac:dyDescent="0.2">
      <c r="A19" s="2" t="s">
        <v>17</v>
      </c>
      <c r="B19" s="2">
        <f t="shared" si="0"/>
        <v>2008</v>
      </c>
      <c r="C19" s="3">
        <v>90.6</v>
      </c>
      <c r="D19" s="3">
        <v>84.6</v>
      </c>
      <c r="E19" s="3">
        <v>86.6</v>
      </c>
      <c r="F19" s="3">
        <v>81.599999999999994</v>
      </c>
    </row>
    <row r="20" spans="1:6" ht="17" x14ac:dyDescent="0.2">
      <c r="A20" s="2" t="s">
        <v>18</v>
      </c>
      <c r="B20" s="2">
        <f t="shared" si="0"/>
        <v>2008</v>
      </c>
      <c r="C20" s="3">
        <v>91</v>
      </c>
      <c r="D20" s="3">
        <v>85.2</v>
      </c>
      <c r="E20" s="3">
        <v>87</v>
      </c>
      <c r="F20" s="3">
        <v>82.2</v>
      </c>
    </row>
    <row r="21" spans="1:6" ht="17" x14ac:dyDescent="0.2">
      <c r="A21" s="2" t="s">
        <v>19</v>
      </c>
      <c r="B21" s="2">
        <f t="shared" si="0"/>
        <v>2008</v>
      </c>
      <c r="C21" s="3">
        <v>91.6</v>
      </c>
      <c r="D21" s="3">
        <v>85.9</v>
      </c>
      <c r="E21" s="3">
        <v>87.5</v>
      </c>
      <c r="F21" s="3">
        <v>83</v>
      </c>
    </row>
    <row r="22" spans="1:6" x14ac:dyDescent="0.2">
      <c r="A22" s="4">
        <v>39722</v>
      </c>
      <c r="B22" s="2" t="e">
        <f t="shared" si="0"/>
        <v>#VALUE!</v>
      </c>
      <c r="C22" s="3">
        <v>91.3</v>
      </c>
      <c r="D22" s="3">
        <v>85.7</v>
      </c>
      <c r="E22" s="3">
        <v>87.3</v>
      </c>
      <c r="F22" s="3">
        <v>83.1</v>
      </c>
    </row>
    <row r="23" spans="1:6" ht="17" x14ac:dyDescent="0.2">
      <c r="A23" s="2" t="s">
        <v>20</v>
      </c>
      <c r="B23" s="2">
        <f t="shared" si="0"/>
        <v>2008</v>
      </c>
      <c r="C23" s="3">
        <v>90.5</v>
      </c>
      <c r="D23" s="3">
        <v>85.6</v>
      </c>
      <c r="E23" s="3">
        <v>87.2</v>
      </c>
      <c r="F23" s="3">
        <v>83.2</v>
      </c>
    </row>
    <row r="24" spans="1:6" ht="17" x14ac:dyDescent="0.2">
      <c r="A24" s="2" t="s">
        <v>21</v>
      </c>
      <c r="B24" s="2">
        <f t="shared" si="0"/>
        <v>2008</v>
      </c>
      <c r="C24" s="3">
        <v>88.2</v>
      </c>
      <c r="D24" s="3">
        <v>85.1</v>
      </c>
      <c r="E24" s="3">
        <v>86.9</v>
      </c>
      <c r="F24" s="3">
        <v>82.9</v>
      </c>
    </row>
    <row r="25" spans="1:6" ht="17" x14ac:dyDescent="0.2">
      <c r="A25" s="2" t="s">
        <v>22</v>
      </c>
      <c r="B25" s="2">
        <f t="shared" si="0"/>
        <v>2008</v>
      </c>
      <c r="C25" s="3">
        <v>86.5</v>
      </c>
      <c r="D25" s="3">
        <v>84.7</v>
      </c>
      <c r="E25" s="3">
        <v>86.4</v>
      </c>
      <c r="F25" s="3">
        <v>82.7</v>
      </c>
    </row>
    <row r="26" spans="1:6" ht="17" x14ac:dyDescent="0.2">
      <c r="A26" s="2" t="s">
        <v>23</v>
      </c>
      <c r="B26" s="2">
        <f t="shared" si="0"/>
        <v>2008</v>
      </c>
      <c r="C26" s="3">
        <v>86.8</v>
      </c>
      <c r="D26" s="3">
        <v>85.5</v>
      </c>
      <c r="E26" s="3">
        <v>87</v>
      </c>
      <c r="F26" s="3">
        <v>83.3</v>
      </c>
    </row>
    <row r="27" spans="1:6" ht="17" x14ac:dyDescent="0.2">
      <c r="A27" s="2" t="s">
        <v>24</v>
      </c>
      <c r="B27" s="2">
        <f t="shared" si="0"/>
        <v>2008</v>
      </c>
      <c r="C27" s="3">
        <v>86.5</v>
      </c>
      <c r="D27" s="3">
        <v>85.5</v>
      </c>
      <c r="E27" s="3">
        <v>87</v>
      </c>
      <c r="F27" s="3">
        <v>83.3</v>
      </c>
    </row>
    <row r="28" spans="1:6" ht="17" x14ac:dyDescent="0.2">
      <c r="A28" s="2" t="s">
        <v>25</v>
      </c>
      <c r="B28" s="2">
        <f t="shared" si="0"/>
        <v>2009</v>
      </c>
      <c r="C28" s="3">
        <v>86.3</v>
      </c>
      <c r="D28" s="3">
        <v>85.7</v>
      </c>
      <c r="E28" s="3">
        <v>87.1</v>
      </c>
      <c r="F28" s="3">
        <v>83.6</v>
      </c>
    </row>
    <row r="29" spans="1:6" ht="17" x14ac:dyDescent="0.2">
      <c r="A29" s="2" t="s">
        <v>26</v>
      </c>
      <c r="B29" s="2">
        <f t="shared" si="0"/>
        <v>2009</v>
      </c>
      <c r="C29" s="3">
        <v>86.9</v>
      </c>
      <c r="D29" s="3">
        <v>86.2</v>
      </c>
      <c r="E29" s="3">
        <v>87.4</v>
      </c>
      <c r="F29" s="3">
        <v>84</v>
      </c>
    </row>
    <row r="30" spans="1:6" ht="17" x14ac:dyDescent="0.2">
      <c r="A30" s="2" t="s">
        <v>27</v>
      </c>
      <c r="B30" s="2">
        <f t="shared" si="0"/>
        <v>2009</v>
      </c>
      <c r="C30" s="3">
        <v>87.1</v>
      </c>
      <c r="D30" s="3">
        <v>86.3</v>
      </c>
      <c r="E30" s="3">
        <v>87.5</v>
      </c>
      <c r="F30" s="3">
        <v>84.1</v>
      </c>
    </row>
    <row r="31" spans="1:6" ht="17" x14ac:dyDescent="0.2">
      <c r="A31" s="2" t="s">
        <v>28</v>
      </c>
      <c r="B31" s="2">
        <f t="shared" si="0"/>
        <v>2009</v>
      </c>
      <c r="C31" s="3">
        <v>87.1</v>
      </c>
      <c r="D31" s="3">
        <v>86.3</v>
      </c>
      <c r="E31" s="3">
        <v>87.5</v>
      </c>
      <c r="F31" s="3">
        <v>84.2</v>
      </c>
    </row>
    <row r="32" spans="1:6" ht="17" x14ac:dyDescent="0.2">
      <c r="A32" s="2" t="s">
        <v>29</v>
      </c>
      <c r="B32" s="2">
        <f t="shared" si="0"/>
        <v>2009</v>
      </c>
      <c r="C32" s="3">
        <v>87.5</v>
      </c>
      <c r="D32" s="3">
        <v>86.6</v>
      </c>
      <c r="E32" s="3">
        <v>87.8</v>
      </c>
      <c r="F32" s="3">
        <v>84.4</v>
      </c>
    </row>
    <row r="33" spans="1:6" ht="17" x14ac:dyDescent="0.2">
      <c r="A33" s="2" t="s">
        <v>30</v>
      </c>
      <c r="B33" s="2">
        <f t="shared" si="0"/>
        <v>2009</v>
      </c>
      <c r="C33" s="3">
        <v>87.6</v>
      </c>
      <c r="D33" s="3">
        <v>86.7</v>
      </c>
      <c r="E33" s="3">
        <v>87.7</v>
      </c>
      <c r="F33" s="3">
        <v>84.4</v>
      </c>
    </row>
    <row r="34" spans="1:6" ht="17" x14ac:dyDescent="0.2">
      <c r="A34" s="2" t="s">
        <v>31</v>
      </c>
      <c r="B34" s="2">
        <f t="shared" si="0"/>
        <v>2009</v>
      </c>
      <c r="C34" s="3">
        <v>87.8</v>
      </c>
      <c r="D34" s="3">
        <v>87</v>
      </c>
      <c r="E34" s="3">
        <v>87.8</v>
      </c>
      <c r="F34" s="3">
        <v>84.6</v>
      </c>
    </row>
    <row r="35" spans="1:6" ht="17" x14ac:dyDescent="0.2">
      <c r="A35" s="2" t="s">
        <v>32</v>
      </c>
      <c r="B35" s="2">
        <f t="shared" si="0"/>
        <v>2009</v>
      </c>
      <c r="C35" s="3">
        <v>88</v>
      </c>
      <c r="D35" s="3">
        <v>87.2</v>
      </c>
      <c r="E35" s="3">
        <v>87.9</v>
      </c>
      <c r="F35" s="3">
        <v>84.7</v>
      </c>
    </row>
    <row r="36" spans="1:6" ht="17" x14ac:dyDescent="0.2">
      <c r="A36" s="2" t="s">
        <v>33</v>
      </c>
      <c r="B36" s="2">
        <f t="shared" si="0"/>
        <v>2009</v>
      </c>
      <c r="C36" s="3">
        <v>88.5</v>
      </c>
      <c r="D36" s="3">
        <v>87.7</v>
      </c>
      <c r="E36" s="3">
        <v>88.4</v>
      </c>
      <c r="F36" s="3">
        <v>85.2</v>
      </c>
    </row>
    <row r="37" spans="1:6" ht="17" x14ac:dyDescent="0.2">
      <c r="A37" s="2" t="s">
        <v>34</v>
      </c>
      <c r="B37" s="2">
        <f t="shared" si="0"/>
        <v>2009</v>
      </c>
      <c r="C37" s="3">
        <v>88.6</v>
      </c>
      <c r="D37" s="3">
        <v>87.9</v>
      </c>
      <c r="E37" s="3">
        <v>88.4</v>
      </c>
      <c r="F37" s="3">
        <v>85.2</v>
      </c>
    </row>
    <row r="38" spans="1:6" ht="17" x14ac:dyDescent="0.2">
      <c r="A38" s="2" t="s">
        <v>35</v>
      </c>
      <c r="B38" s="2">
        <f t="shared" si="0"/>
        <v>2009</v>
      </c>
      <c r="C38" s="3">
        <v>88.9</v>
      </c>
      <c r="D38" s="3">
        <v>88.1</v>
      </c>
      <c r="E38" s="3">
        <v>88.7</v>
      </c>
      <c r="F38" s="3">
        <v>85.4</v>
      </c>
    </row>
    <row r="39" spans="1:6" ht="17" x14ac:dyDescent="0.2">
      <c r="A39" s="2" t="s">
        <v>36</v>
      </c>
      <c r="B39" s="2">
        <f t="shared" si="0"/>
        <v>2009</v>
      </c>
      <c r="C39" s="3">
        <v>89.4</v>
      </c>
      <c r="D39" s="3">
        <v>88.6</v>
      </c>
      <c r="E39" s="3">
        <v>89</v>
      </c>
      <c r="F39" s="3">
        <v>85.8</v>
      </c>
    </row>
    <row r="40" spans="1:6" ht="17" x14ac:dyDescent="0.2">
      <c r="A40" s="2" t="s">
        <v>37</v>
      </c>
      <c r="B40" s="2">
        <f t="shared" si="0"/>
        <v>2010</v>
      </c>
      <c r="C40" s="3">
        <v>90.1</v>
      </c>
      <c r="D40" s="3">
        <v>89.2</v>
      </c>
      <c r="E40" s="3">
        <v>89.5</v>
      </c>
      <c r="F40" s="3">
        <v>86.5</v>
      </c>
    </row>
    <row r="41" spans="1:6" ht="17" x14ac:dyDescent="0.2">
      <c r="A41" s="2" t="s">
        <v>38</v>
      </c>
      <c r="B41" s="2">
        <f t="shared" si="0"/>
        <v>2010</v>
      </c>
      <c r="C41" s="3">
        <v>90.4</v>
      </c>
      <c r="D41" s="3">
        <v>89.4</v>
      </c>
      <c r="E41" s="3">
        <v>89.7</v>
      </c>
      <c r="F41" s="3">
        <v>86.6</v>
      </c>
    </row>
    <row r="42" spans="1:6" ht="17" x14ac:dyDescent="0.2">
      <c r="A42" s="2" t="s">
        <v>39</v>
      </c>
      <c r="B42" s="2">
        <f t="shared" ref="B42:B105" si="1">IF(MONTH(DATEVALUE(A42))&gt;=4, YEAR(DATEVALUE(A42)), YEAR(DATEVALUE(A42))-1)</f>
        <v>2010</v>
      </c>
      <c r="C42" s="3">
        <v>90.6</v>
      </c>
      <c r="D42" s="3">
        <v>89.6</v>
      </c>
      <c r="E42" s="3">
        <v>89.9</v>
      </c>
      <c r="F42" s="3">
        <v>86.7</v>
      </c>
    </row>
    <row r="43" spans="1:6" ht="17" x14ac:dyDescent="0.2">
      <c r="A43" s="2" t="s">
        <v>40</v>
      </c>
      <c r="B43" s="2">
        <f t="shared" si="1"/>
        <v>2010</v>
      </c>
      <c r="C43" s="3">
        <v>90.4</v>
      </c>
      <c r="D43" s="3">
        <v>89.5</v>
      </c>
      <c r="E43" s="3">
        <v>89.8</v>
      </c>
      <c r="F43" s="3">
        <v>86.6</v>
      </c>
    </row>
    <row r="44" spans="1:6" ht="17" x14ac:dyDescent="0.2">
      <c r="A44" s="2" t="s">
        <v>41</v>
      </c>
      <c r="B44" s="2">
        <f t="shared" si="1"/>
        <v>2010</v>
      </c>
      <c r="C44" s="3">
        <v>90.9</v>
      </c>
      <c r="D44" s="3">
        <v>89.8</v>
      </c>
      <c r="E44" s="3">
        <v>90.3</v>
      </c>
      <c r="F44" s="3">
        <v>86.9</v>
      </c>
    </row>
    <row r="45" spans="1:6" ht="17" x14ac:dyDescent="0.2">
      <c r="A45" s="2" t="s">
        <v>42</v>
      </c>
      <c r="B45" s="2">
        <f t="shared" si="1"/>
        <v>2010</v>
      </c>
      <c r="C45" s="3">
        <v>91</v>
      </c>
      <c r="D45" s="3">
        <v>90</v>
      </c>
      <c r="E45" s="3">
        <v>90.2</v>
      </c>
      <c r="F45" s="3">
        <v>87</v>
      </c>
    </row>
    <row r="46" spans="1:6" ht="17" x14ac:dyDescent="0.2">
      <c r="A46" s="2" t="s">
        <v>43</v>
      </c>
      <c r="B46" s="2">
        <f t="shared" si="1"/>
        <v>2010</v>
      </c>
      <c r="C46" s="3">
        <v>91.2</v>
      </c>
      <c r="D46" s="3">
        <v>90.2</v>
      </c>
      <c r="E46" s="3">
        <v>90.4</v>
      </c>
      <c r="F46" s="3">
        <v>87.2</v>
      </c>
    </row>
    <row r="47" spans="1:6" ht="17" x14ac:dyDescent="0.2">
      <c r="A47" s="2" t="s">
        <v>44</v>
      </c>
      <c r="B47" s="2">
        <f t="shared" si="1"/>
        <v>2010</v>
      </c>
      <c r="C47" s="3">
        <v>91.5</v>
      </c>
      <c r="D47" s="3">
        <v>90.7</v>
      </c>
      <c r="E47" s="3">
        <v>90.7</v>
      </c>
      <c r="F47" s="3">
        <v>87.5</v>
      </c>
    </row>
    <row r="48" spans="1:6" ht="17" x14ac:dyDescent="0.2">
      <c r="A48" s="2" t="s">
        <v>45</v>
      </c>
      <c r="B48" s="2">
        <f t="shared" si="1"/>
        <v>2010</v>
      </c>
      <c r="C48" s="3">
        <v>92.3</v>
      </c>
      <c r="D48" s="3">
        <v>91.5</v>
      </c>
      <c r="E48" s="3">
        <v>91.5</v>
      </c>
      <c r="F48" s="3">
        <v>88.3</v>
      </c>
    </row>
    <row r="49" spans="1:6" ht="17" x14ac:dyDescent="0.2">
      <c r="A49" s="2" t="s">
        <v>46</v>
      </c>
      <c r="B49" s="2">
        <f t="shared" si="1"/>
        <v>2010</v>
      </c>
      <c r="C49" s="3">
        <v>92.6</v>
      </c>
      <c r="D49" s="3">
        <v>91.9</v>
      </c>
      <c r="E49" s="3">
        <v>91.6</v>
      </c>
      <c r="F49" s="3">
        <v>88.5</v>
      </c>
    </row>
    <row r="50" spans="1:6" ht="17" x14ac:dyDescent="0.2">
      <c r="A50" s="2" t="s">
        <v>47</v>
      </c>
      <c r="B50" s="2">
        <f t="shared" si="1"/>
        <v>2010</v>
      </c>
      <c r="C50" s="3">
        <v>93.3</v>
      </c>
      <c r="D50" s="3">
        <v>92.5</v>
      </c>
      <c r="E50" s="3">
        <v>92.1</v>
      </c>
      <c r="F50" s="3">
        <v>89.1</v>
      </c>
    </row>
    <row r="51" spans="1:6" ht="17" x14ac:dyDescent="0.2">
      <c r="A51" s="2" t="s">
        <v>48</v>
      </c>
      <c r="B51" s="2">
        <f t="shared" si="1"/>
        <v>2010</v>
      </c>
      <c r="C51" s="3">
        <v>93.6</v>
      </c>
      <c r="D51" s="3">
        <v>92.8</v>
      </c>
      <c r="E51" s="3">
        <v>92.4</v>
      </c>
      <c r="F51" s="3">
        <v>89.2</v>
      </c>
    </row>
    <row r="52" spans="1:6" ht="17" x14ac:dyDescent="0.2">
      <c r="A52" s="2" t="s">
        <v>49</v>
      </c>
      <c r="B52" s="2">
        <f t="shared" si="1"/>
        <v>2011</v>
      </c>
      <c r="C52" s="3">
        <v>94.4</v>
      </c>
      <c r="D52" s="3">
        <v>93.5</v>
      </c>
      <c r="E52" s="3">
        <v>93.3</v>
      </c>
      <c r="F52" s="3">
        <v>90.5</v>
      </c>
    </row>
    <row r="53" spans="1:6" ht="17" x14ac:dyDescent="0.2">
      <c r="A53" s="2" t="s">
        <v>50</v>
      </c>
      <c r="B53" s="2">
        <f t="shared" si="1"/>
        <v>2011</v>
      </c>
      <c r="C53" s="3">
        <v>94.6</v>
      </c>
      <c r="D53" s="3">
        <v>93.8</v>
      </c>
      <c r="E53" s="3">
        <v>93.5</v>
      </c>
      <c r="F53" s="3">
        <v>90.7</v>
      </c>
    </row>
    <row r="54" spans="1:6" ht="17" x14ac:dyDescent="0.2">
      <c r="A54" s="2" t="s">
        <v>51</v>
      </c>
      <c r="B54" s="2">
        <f t="shared" si="1"/>
        <v>2011</v>
      </c>
      <c r="C54" s="3">
        <v>94.6</v>
      </c>
      <c r="D54" s="3">
        <v>93.9</v>
      </c>
      <c r="E54" s="3">
        <v>93.5</v>
      </c>
      <c r="F54" s="3">
        <v>90.8</v>
      </c>
    </row>
    <row r="55" spans="1:6" ht="17" x14ac:dyDescent="0.2">
      <c r="A55" s="2" t="s">
        <v>52</v>
      </c>
      <c r="B55" s="2">
        <f t="shared" si="1"/>
        <v>2011</v>
      </c>
      <c r="C55" s="3">
        <v>94.6</v>
      </c>
      <c r="D55" s="3">
        <v>93.8</v>
      </c>
      <c r="E55" s="3">
        <v>93.6</v>
      </c>
      <c r="F55" s="3">
        <v>91</v>
      </c>
    </row>
    <row r="56" spans="1:6" ht="17" x14ac:dyDescent="0.2">
      <c r="A56" s="2" t="s">
        <v>53</v>
      </c>
      <c r="B56" s="2">
        <f t="shared" si="1"/>
        <v>2011</v>
      </c>
      <c r="C56" s="3">
        <v>95</v>
      </c>
      <c r="D56" s="3">
        <v>94.3</v>
      </c>
      <c r="E56" s="3">
        <v>94</v>
      </c>
      <c r="F56" s="3">
        <v>91.5</v>
      </c>
    </row>
    <row r="57" spans="1:6" ht="17" x14ac:dyDescent="0.2">
      <c r="A57" s="2" t="s">
        <v>54</v>
      </c>
      <c r="B57" s="2">
        <f t="shared" si="1"/>
        <v>2011</v>
      </c>
      <c r="C57" s="3">
        <v>95.7</v>
      </c>
      <c r="D57" s="3">
        <v>95.2</v>
      </c>
      <c r="E57" s="3">
        <v>94.5</v>
      </c>
      <c r="F57" s="3">
        <v>92.2</v>
      </c>
    </row>
    <row r="58" spans="1:6" ht="17" x14ac:dyDescent="0.2">
      <c r="A58" s="2" t="s">
        <v>55</v>
      </c>
      <c r="B58" s="2">
        <f t="shared" si="1"/>
        <v>2011</v>
      </c>
      <c r="C58" s="3">
        <v>95.7</v>
      </c>
      <c r="D58" s="3">
        <v>95.3</v>
      </c>
      <c r="E58" s="3">
        <v>94.6</v>
      </c>
      <c r="F58" s="3">
        <v>92.3</v>
      </c>
    </row>
    <row r="59" spans="1:6" ht="17" x14ac:dyDescent="0.2">
      <c r="A59" s="2" t="s">
        <v>56</v>
      </c>
      <c r="B59" s="2">
        <f t="shared" si="1"/>
        <v>2011</v>
      </c>
      <c r="C59" s="3">
        <v>95.9</v>
      </c>
      <c r="D59" s="3">
        <v>95.6</v>
      </c>
      <c r="E59" s="3">
        <v>94.8</v>
      </c>
      <c r="F59" s="3">
        <v>92.5</v>
      </c>
    </row>
    <row r="60" spans="1:6" ht="17" x14ac:dyDescent="0.2">
      <c r="A60" s="2" t="s">
        <v>57</v>
      </c>
      <c r="B60" s="2">
        <f t="shared" si="1"/>
        <v>2011</v>
      </c>
      <c r="C60" s="3">
        <v>96.3</v>
      </c>
      <c r="D60" s="3">
        <v>96</v>
      </c>
      <c r="E60" s="3">
        <v>95.3</v>
      </c>
      <c r="F60" s="3">
        <v>92.9</v>
      </c>
    </row>
    <row r="61" spans="1:6" ht="17" x14ac:dyDescent="0.2">
      <c r="A61" s="2" t="s">
        <v>58</v>
      </c>
      <c r="B61" s="2">
        <f t="shared" si="1"/>
        <v>2011</v>
      </c>
      <c r="C61" s="3">
        <v>95.9</v>
      </c>
      <c r="D61" s="3">
        <v>95.5</v>
      </c>
      <c r="E61" s="3">
        <v>94.9</v>
      </c>
      <c r="F61" s="3">
        <v>92.6</v>
      </c>
    </row>
    <row r="62" spans="1:6" ht="17" x14ac:dyDescent="0.2">
      <c r="A62" s="2" t="s">
        <v>59</v>
      </c>
      <c r="B62" s="2">
        <f t="shared" si="1"/>
        <v>2011</v>
      </c>
      <c r="C62" s="3">
        <v>96.4</v>
      </c>
      <c r="D62" s="3">
        <v>96</v>
      </c>
      <c r="E62" s="3">
        <v>95.3</v>
      </c>
      <c r="F62" s="3">
        <v>93</v>
      </c>
    </row>
    <row r="63" spans="1:6" ht="17" x14ac:dyDescent="0.2">
      <c r="A63" s="2" t="s">
        <v>60</v>
      </c>
      <c r="B63" s="2">
        <f t="shared" si="1"/>
        <v>2011</v>
      </c>
      <c r="C63" s="3">
        <v>96.6</v>
      </c>
      <c r="D63" s="3">
        <v>96.1</v>
      </c>
      <c r="E63" s="3">
        <v>95.5</v>
      </c>
      <c r="F63" s="3">
        <v>93.1</v>
      </c>
    </row>
    <row r="64" spans="1:6" ht="17" x14ac:dyDescent="0.2">
      <c r="A64" s="2" t="s">
        <v>61</v>
      </c>
      <c r="B64" s="2">
        <f t="shared" si="1"/>
        <v>2012</v>
      </c>
      <c r="C64" s="3">
        <v>97.2</v>
      </c>
      <c r="D64" s="3">
        <v>96.6</v>
      </c>
      <c r="E64" s="3">
        <v>96</v>
      </c>
      <c r="F64" s="3">
        <v>94.2</v>
      </c>
    </row>
    <row r="65" spans="1:6" ht="17" x14ac:dyDescent="0.2">
      <c r="A65" s="2" t="s">
        <v>62</v>
      </c>
      <c r="B65" s="2">
        <f t="shared" si="1"/>
        <v>2012</v>
      </c>
      <c r="C65" s="3">
        <v>97.1</v>
      </c>
      <c r="D65" s="3">
        <v>96.5</v>
      </c>
      <c r="E65" s="3">
        <v>96</v>
      </c>
      <c r="F65" s="3">
        <v>94.2</v>
      </c>
    </row>
    <row r="66" spans="1:6" ht="17" x14ac:dyDescent="0.2">
      <c r="A66" s="2" t="s">
        <v>63</v>
      </c>
      <c r="B66" s="2">
        <f t="shared" si="1"/>
        <v>2012</v>
      </c>
      <c r="C66" s="3">
        <v>96.7</v>
      </c>
      <c r="D66" s="3">
        <v>96.2</v>
      </c>
      <c r="E66" s="3">
        <v>95.7</v>
      </c>
      <c r="F66" s="3">
        <v>93.9</v>
      </c>
    </row>
    <row r="67" spans="1:6" ht="17" x14ac:dyDescent="0.2">
      <c r="A67" s="2" t="s">
        <v>64</v>
      </c>
      <c r="B67" s="2">
        <f t="shared" si="1"/>
        <v>2012</v>
      </c>
      <c r="C67" s="3">
        <v>96.7</v>
      </c>
      <c r="D67" s="3">
        <v>96.2</v>
      </c>
      <c r="E67" s="3">
        <v>95.8</v>
      </c>
      <c r="F67" s="3">
        <v>94.3</v>
      </c>
    </row>
    <row r="68" spans="1:6" ht="17" x14ac:dyDescent="0.2">
      <c r="A68" s="2" t="s">
        <v>65</v>
      </c>
      <c r="B68" s="2">
        <f t="shared" si="1"/>
        <v>2012</v>
      </c>
      <c r="C68" s="3">
        <v>97.1</v>
      </c>
      <c r="D68" s="3">
        <v>96.5</v>
      </c>
      <c r="E68" s="3">
        <v>96.1</v>
      </c>
      <c r="F68" s="3">
        <v>94.5</v>
      </c>
    </row>
    <row r="69" spans="1:6" ht="17" x14ac:dyDescent="0.2">
      <c r="A69" s="2" t="s">
        <v>66</v>
      </c>
      <c r="B69" s="2">
        <f t="shared" si="1"/>
        <v>2012</v>
      </c>
      <c r="C69" s="3">
        <v>97.6</v>
      </c>
      <c r="D69" s="3">
        <v>97</v>
      </c>
      <c r="E69" s="3">
        <v>96.4</v>
      </c>
      <c r="F69" s="3">
        <v>94.9</v>
      </c>
    </row>
    <row r="70" spans="1:6" ht="17" x14ac:dyDescent="0.2">
      <c r="A70" s="2" t="s">
        <v>67</v>
      </c>
      <c r="B70" s="2">
        <f t="shared" si="1"/>
        <v>2012</v>
      </c>
      <c r="C70" s="3">
        <v>98</v>
      </c>
      <c r="D70" s="3">
        <v>97.1</v>
      </c>
      <c r="E70" s="3">
        <v>96.7</v>
      </c>
      <c r="F70" s="3">
        <v>95.2</v>
      </c>
    </row>
    <row r="71" spans="1:6" ht="17" x14ac:dyDescent="0.2">
      <c r="A71" s="2" t="s">
        <v>68</v>
      </c>
      <c r="B71" s="2">
        <f t="shared" si="1"/>
        <v>2012</v>
      </c>
      <c r="C71" s="3">
        <v>98</v>
      </c>
      <c r="D71" s="3">
        <v>97.4</v>
      </c>
      <c r="E71" s="3">
        <v>96.9</v>
      </c>
      <c r="F71" s="3">
        <v>95.5</v>
      </c>
    </row>
    <row r="72" spans="1:6" ht="17" x14ac:dyDescent="0.2">
      <c r="A72" s="2" t="s">
        <v>69</v>
      </c>
      <c r="B72" s="2">
        <f t="shared" si="1"/>
        <v>2012</v>
      </c>
      <c r="C72" s="3">
        <v>98.4</v>
      </c>
      <c r="D72" s="3">
        <v>98</v>
      </c>
      <c r="E72" s="3">
        <v>97.3</v>
      </c>
      <c r="F72" s="3">
        <v>96</v>
      </c>
    </row>
    <row r="73" spans="1:6" ht="17" x14ac:dyDescent="0.2">
      <c r="A73" s="2" t="s">
        <v>70</v>
      </c>
      <c r="B73" s="2">
        <f t="shared" si="1"/>
        <v>2012</v>
      </c>
      <c r="C73" s="3">
        <v>98.1</v>
      </c>
      <c r="D73" s="3">
        <v>97.7</v>
      </c>
      <c r="E73" s="3">
        <v>97.1</v>
      </c>
      <c r="F73" s="3">
        <v>95.7</v>
      </c>
    </row>
    <row r="74" spans="1:6" ht="17" x14ac:dyDescent="0.2">
      <c r="A74" s="2" t="s">
        <v>71</v>
      </c>
      <c r="B74" s="2">
        <f t="shared" si="1"/>
        <v>2012</v>
      </c>
      <c r="C74" s="3">
        <v>98.6</v>
      </c>
      <c r="D74" s="3">
        <v>98.3</v>
      </c>
      <c r="E74" s="3">
        <v>97.6</v>
      </c>
      <c r="F74" s="3">
        <v>96.3</v>
      </c>
    </row>
    <row r="75" spans="1:6" ht="17" x14ac:dyDescent="0.2">
      <c r="A75" s="2" t="s">
        <v>72</v>
      </c>
      <c r="B75" s="2">
        <f t="shared" si="1"/>
        <v>2012</v>
      </c>
      <c r="C75" s="3">
        <v>99</v>
      </c>
      <c r="D75" s="3">
        <v>98.6</v>
      </c>
      <c r="E75" s="3">
        <v>97.9</v>
      </c>
      <c r="F75" s="3">
        <v>96.5</v>
      </c>
    </row>
    <row r="76" spans="1:6" ht="17" x14ac:dyDescent="0.2">
      <c r="A76" s="2" t="s">
        <v>73</v>
      </c>
      <c r="B76" s="2">
        <f t="shared" si="1"/>
        <v>2013</v>
      </c>
      <c r="C76" s="3">
        <v>99.2</v>
      </c>
      <c r="D76" s="3">
        <v>98.8</v>
      </c>
      <c r="E76" s="3">
        <v>98.1</v>
      </c>
      <c r="F76" s="3">
        <v>97.2</v>
      </c>
    </row>
    <row r="77" spans="1:6" ht="17" x14ac:dyDescent="0.2">
      <c r="A77" s="2" t="s">
        <v>74</v>
      </c>
      <c r="B77" s="2">
        <f t="shared" si="1"/>
        <v>2013</v>
      </c>
      <c r="C77" s="3">
        <v>99.3</v>
      </c>
      <c r="D77" s="3">
        <v>98.9</v>
      </c>
      <c r="E77" s="3">
        <v>98.3</v>
      </c>
      <c r="F77" s="3">
        <v>97.4</v>
      </c>
    </row>
    <row r="78" spans="1:6" ht="17" x14ac:dyDescent="0.2">
      <c r="A78" s="2" t="s">
        <v>75</v>
      </c>
      <c r="B78" s="2">
        <f t="shared" si="1"/>
        <v>2013</v>
      </c>
      <c r="C78" s="3">
        <v>99.2</v>
      </c>
      <c r="D78" s="3">
        <v>98.8</v>
      </c>
      <c r="E78" s="3">
        <v>98.2</v>
      </c>
      <c r="F78" s="3">
        <v>97.2</v>
      </c>
    </row>
    <row r="79" spans="1:6" ht="17" x14ac:dyDescent="0.2">
      <c r="A79" s="2" t="s">
        <v>76</v>
      </c>
      <c r="B79" s="2">
        <f t="shared" si="1"/>
        <v>2013</v>
      </c>
      <c r="C79" s="3">
        <v>99.2</v>
      </c>
      <c r="D79" s="3">
        <v>98.8</v>
      </c>
      <c r="E79" s="3">
        <v>98.2</v>
      </c>
      <c r="F79" s="3">
        <v>97.4</v>
      </c>
    </row>
    <row r="80" spans="1:6" ht="17" x14ac:dyDescent="0.2">
      <c r="A80" s="2" t="s">
        <v>77</v>
      </c>
      <c r="B80" s="2">
        <f t="shared" si="1"/>
        <v>2013</v>
      </c>
      <c r="C80" s="3">
        <v>99.5</v>
      </c>
      <c r="D80" s="3">
        <v>99.1</v>
      </c>
      <c r="E80" s="3">
        <v>98.6</v>
      </c>
      <c r="F80" s="3">
        <v>97.8</v>
      </c>
    </row>
    <row r="81" spans="1:6" ht="17" x14ac:dyDescent="0.2">
      <c r="A81" s="2" t="s">
        <v>78</v>
      </c>
      <c r="B81" s="2">
        <f t="shared" si="1"/>
        <v>2013</v>
      </c>
      <c r="C81" s="3">
        <v>99.9</v>
      </c>
      <c r="D81" s="3">
        <v>99.4</v>
      </c>
      <c r="E81" s="3">
        <v>98.8</v>
      </c>
      <c r="F81" s="3">
        <v>98</v>
      </c>
    </row>
    <row r="82" spans="1:6" ht="17" x14ac:dyDescent="0.2">
      <c r="A82" s="2" t="s">
        <v>79</v>
      </c>
      <c r="B82" s="2">
        <f t="shared" si="1"/>
        <v>2013</v>
      </c>
      <c r="C82" s="3">
        <v>99.8</v>
      </c>
      <c r="D82" s="3">
        <v>99.4</v>
      </c>
      <c r="E82" s="3">
        <v>98.8</v>
      </c>
      <c r="F82" s="3">
        <v>98.1</v>
      </c>
    </row>
    <row r="83" spans="1:6" ht="17" x14ac:dyDescent="0.2">
      <c r="A83" s="2" t="s">
        <v>80</v>
      </c>
      <c r="B83" s="2">
        <f t="shared" si="1"/>
        <v>2013</v>
      </c>
      <c r="C83" s="3">
        <v>99.8</v>
      </c>
      <c r="D83" s="3">
        <v>99.4</v>
      </c>
      <c r="E83" s="3">
        <v>98.9</v>
      </c>
      <c r="F83" s="3">
        <v>98.2</v>
      </c>
    </row>
    <row r="84" spans="1:6" ht="17" x14ac:dyDescent="0.2">
      <c r="A84" s="2" t="s">
        <v>81</v>
      </c>
      <c r="B84" s="2">
        <f t="shared" si="1"/>
        <v>2013</v>
      </c>
      <c r="C84" s="3">
        <v>100.3</v>
      </c>
      <c r="D84" s="3">
        <v>100</v>
      </c>
      <c r="E84" s="3">
        <v>99.3</v>
      </c>
      <c r="F84" s="3">
        <v>98.8</v>
      </c>
    </row>
    <row r="85" spans="1:6" ht="17" x14ac:dyDescent="0.2">
      <c r="A85" s="2" t="s">
        <v>82</v>
      </c>
      <c r="B85" s="2">
        <f t="shared" si="1"/>
        <v>2013</v>
      </c>
      <c r="C85" s="3">
        <v>99.8</v>
      </c>
      <c r="D85" s="3">
        <v>99.7</v>
      </c>
      <c r="E85" s="3">
        <v>98.9</v>
      </c>
      <c r="F85" s="3">
        <v>98.3</v>
      </c>
    </row>
    <row r="86" spans="1:6" ht="17" x14ac:dyDescent="0.2">
      <c r="A86" s="2" t="s">
        <v>83</v>
      </c>
      <c r="B86" s="2">
        <f t="shared" si="1"/>
        <v>2013</v>
      </c>
      <c r="C86" s="3">
        <v>100.2</v>
      </c>
      <c r="D86" s="3">
        <v>100.1</v>
      </c>
      <c r="E86" s="3">
        <v>99.3</v>
      </c>
      <c r="F86" s="3">
        <v>98.7</v>
      </c>
    </row>
    <row r="87" spans="1:6" ht="17" x14ac:dyDescent="0.2">
      <c r="A87" s="2" t="s">
        <v>84</v>
      </c>
      <c r="B87" s="2">
        <f t="shared" si="1"/>
        <v>2013</v>
      </c>
      <c r="C87" s="3">
        <v>100.4</v>
      </c>
      <c r="D87" s="3">
        <v>100.2</v>
      </c>
      <c r="E87" s="3">
        <v>99.4</v>
      </c>
      <c r="F87" s="3">
        <v>98.8</v>
      </c>
    </row>
    <row r="88" spans="1:6" ht="17" x14ac:dyDescent="0.2">
      <c r="A88" s="2" t="s">
        <v>85</v>
      </c>
      <c r="B88" s="2">
        <f t="shared" si="1"/>
        <v>2014</v>
      </c>
      <c r="C88" s="3">
        <v>100.6</v>
      </c>
      <c r="D88" s="3">
        <v>100.4</v>
      </c>
      <c r="E88" s="3">
        <v>99.8</v>
      </c>
      <c r="F88" s="3">
        <v>99.6</v>
      </c>
    </row>
    <row r="89" spans="1:6" ht="17" x14ac:dyDescent="0.2">
      <c r="A89" s="2" t="s">
        <v>86</v>
      </c>
      <c r="B89" s="2">
        <f t="shared" si="1"/>
        <v>2014</v>
      </c>
      <c r="C89" s="3">
        <v>100.5</v>
      </c>
      <c r="D89" s="3">
        <v>100.4</v>
      </c>
      <c r="E89" s="3">
        <v>99.6</v>
      </c>
      <c r="F89" s="3">
        <v>99.5</v>
      </c>
    </row>
    <row r="90" spans="1:6" ht="17" x14ac:dyDescent="0.2">
      <c r="A90" s="2" t="s">
        <v>87</v>
      </c>
      <c r="B90" s="2">
        <f t="shared" si="1"/>
        <v>2014</v>
      </c>
      <c r="C90" s="3">
        <v>100.6</v>
      </c>
      <c r="D90" s="3">
        <v>100.5</v>
      </c>
      <c r="E90" s="3">
        <v>99.8</v>
      </c>
      <c r="F90" s="3">
        <v>99.6</v>
      </c>
    </row>
    <row r="91" spans="1:6" ht="17" x14ac:dyDescent="0.2">
      <c r="A91" s="2" t="s">
        <v>88</v>
      </c>
      <c r="B91" s="2">
        <f t="shared" si="1"/>
        <v>2014</v>
      </c>
      <c r="C91" s="3">
        <v>100.3</v>
      </c>
      <c r="D91" s="3">
        <v>100.3</v>
      </c>
      <c r="E91" s="3">
        <v>99.7</v>
      </c>
      <c r="F91" s="3">
        <v>99.6</v>
      </c>
    </row>
    <row r="92" spans="1:6" ht="17" x14ac:dyDescent="0.2">
      <c r="A92" s="2" t="s">
        <v>89</v>
      </c>
      <c r="B92" s="2">
        <f t="shared" si="1"/>
        <v>2014</v>
      </c>
      <c r="C92" s="3">
        <v>100.6</v>
      </c>
      <c r="D92" s="3">
        <v>100.5</v>
      </c>
      <c r="E92" s="3">
        <v>100</v>
      </c>
      <c r="F92" s="3">
        <v>99.8</v>
      </c>
    </row>
    <row r="93" spans="1:6" ht="17" x14ac:dyDescent="0.2">
      <c r="A93" s="2" t="s">
        <v>90</v>
      </c>
      <c r="B93" s="2">
        <f t="shared" si="1"/>
        <v>2014</v>
      </c>
      <c r="C93" s="3">
        <v>100.8</v>
      </c>
      <c r="D93" s="3">
        <v>100.6</v>
      </c>
      <c r="E93" s="3">
        <v>99.9</v>
      </c>
      <c r="F93" s="3">
        <v>100</v>
      </c>
    </row>
    <row r="94" spans="1:6" ht="17" x14ac:dyDescent="0.2">
      <c r="A94" s="2" t="s">
        <v>91</v>
      </c>
      <c r="B94" s="2">
        <f t="shared" si="1"/>
        <v>2014</v>
      </c>
      <c r="C94" s="3">
        <v>100.7</v>
      </c>
      <c r="D94" s="3">
        <v>100.6</v>
      </c>
      <c r="E94" s="3">
        <v>100</v>
      </c>
      <c r="F94" s="3">
        <v>100.1</v>
      </c>
    </row>
    <row r="95" spans="1:6" ht="17" x14ac:dyDescent="0.2">
      <c r="A95" s="2" t="s">
        <v>92</v>
      </c>
      <c r="B95" s="2">
        <f t="shared" si="1"/>
        <v>2014</v>
      </c>
      <c r="C95" s="3">
        <v>100.5</v>
      </c>
      <c r="D95" s="3">
        <v>100.4</v>
      </c>
      <c r="E95" s="3">
        <v>99.8</v>
      </c>
      <c r="F95" s="3">
        <v>99.9</v>
      </c>
    </row>
    <row r="96" spans="1:6" ht="17" x14ac:dyDescent="0.2">
      <c r="A96" s="2" t="s">
        <v>93</v>
      </c>
      <c r="B96" s="2">
        <f t="shared" si="1"/>
        <v>2014</v>
      </c>
      <c r="C96" s="3">
        <v>100.3</v>
      </c>
      <c r="D96" s="3">
        <v>100.2</v>
      </c>
      <c r="E96" s="3">
        <v>99.9</v>
      </c>
      <c r="F96" s="3">
        <v>100</v>
      </c>
    </row>
    <row r="97" spans="1:6" ht="17" x14ac:dyDescent="0.2">
      <c r="A97" s="2" t="s">
        <v>94</v>
      </c>
      <c r="B97" s="2">
        <f t="shared" si="1"/>
        <v>2014</v>
      </c>
      <c r="C97" s="3">
        <v>99.5</v>
      </c>
      <c r="D97" s="3">
        <v>99.5</v>
      </c>
      <c r="E97" s="3">
        <v>99.3</v>
      </c>
      <c r="F97" s="3">
        <v>99.4</v>
      </c>
    </row>
    <row r="98" spans="1:6" ht="17" x14ac:dyDescent="0.2">
      <c r="A98" s="2" t="s">
        <v>95</v>
      </c>
      <c r="B98" s="2">
        <f t="shared" si="1"/>
        <v>2014</v>
      </c>
      <c r="C98" s="3">
        <v>99.7</v>
      </c>
      <c r="D98" s="3">
        <v>99.7</v>
      </c>
      <c r="E98" s="3">
        <v>99.5</v>
      </c>
      <c r="F98" s="3">
        <v>99.5</v>
      </c>
    </row>
    <row r="99" spans="1:6" ht="17" x14ac:dyDescent="0.2">
      <c r="A99" s="2" t="s">
        <v>96</v>
      </c>
      <c r="B99" s="2">
        <f t="shared" si="1"/>
        <v>2014</v>
      </c>
      <c r="C99" s="3">
        <v>99.8</v>
      </c>
      <c r="D99" s="3">
        <v>99.7</v>
      </c>
      <c r="E99" s="3">
        <v>99.6</v>
      </c>
      <c r="F99" s="3">
        <v>99.6</v>
      </c>
    </row>
    <row r="100" spans="1:6" ht="17" x14ac:dyDescent="0.2">
      <c r="A100" s="2" t="s">
        <v>97</v>
      </c>
      <c r="B100" s="2">
        <f t="shared" si="1"/>
        <v>2015</v>
      </c>
      <c r="C100" s="3">
        <v>100</v>
      </c>
      <c r="D100" s="3">
        <v>100</v>
      </c>
      <c r="E100" s="3">
        <v>99.9</v>
      </c>
      <c r="F100" s="3">
        <v>100</v>
      </c>
    </row>
    <row r="101" spans="1:6" ht="17" x14ac:dyDescent="0.2">
      <c r="A101" s="2" t="s">
        <v>98</v>
      </c>
      <c r="B101" s="2">
        <f t="shared" si="1"/>
        <v>2015</v>
      </c>
      <c r="C101" s="3">
        <v>100.1</v>
      </c>
      <c r="D101" s="3">
        <v>100.1</v>
      </c>
      <c r="E101" s="3">
        <v>100</v>
      </c>
      <c r="F101" s="3">
        <v>100</v>
      </c>
    </row>
    <row r="102" spans="1:6" ht="17" x14ac:dyDescent="0.2">
      <c r="A102" s="2" t="s">
        <v>99</v>
      </c>
      <c r="B102" s="2">
        <f t="shared" si="1"/>
        <v>2015</v>
      </c>
      <c r="C102" s="3">
        <v>100.2</v>
      </c>
      <c r="D102" s="3">
        <v>100.2</v>
      </c>
      <c r="E102" s="3">
        <v>100.1</v>
      </c>
      <c r="F102" s="3">
        <v>100</v>
      </c>
    </row>
    <row r="103" spans="1:6" ht="17" x14ac:dyDescent="0.2">
      <c r="A103" s="2" t="s">
        <v>100</v>
      </c>
      <c r="B103" s="2">
        <f t="shared" si="1"/>
        <v>2015</v>
      </c>
      <c r="C103" s="3">
        <v>100</v>
      </c>
      <c r="D103" s="3">
        <v>100.1</v>
      </c>
      <c r="E103" s="3">
        <v>100</v>
      </c>
      <c r="F103" s="3">
        <v>100.1</v>
      </c>
    </row>
    <row r="104" spans="1:6" ht="17" x14ac:dyDescent="0.2">
      <c r="A104" s="2" t="s">
        <v>101</v>
      </c>
      <c r="B104" s="2">
        <f t="shared" si="1"/>
        <v>2015</v>
      </c>
      <c r="C104" s="3">
        <v>100.2</v>
      </c>
      <c r="D104" s="3">
        <v>100.2</v>
      </c>
      <c r="E104" s="3">
        <v>100.3</v>
      </c>
      <c r="F104" s="3">
        <v>100.2</v>
      </c>
    </row>
    <row r="105" spans="1:6" ht="17" x14ac:dyDescent="0.2">
      <c r="A105" s="2" t="s">
        <v>102</v>
      </c>
      <c r="B105" s="2">
        <f t="shared" si="1"/>
        <v>2015</v>
      </c>
      <c r="C105" s="3">
        <v>100.1</v>
      </c>
      <c r="D105" s="3">
        <v>100.1</v>
      </c>
      <c r="E105" s="3">
        <v>100.2</v>
      </c>
      <c r="F105" s="3">
        <v>100.2</v>
      </c>
    </row>
    <row r="106" spans="1:6" ht="17" x14ac:dyDescent="0.2">
      <c r="A106" s="2" t="s">
        <v>103</v>
      </c>
      <c r="B106" s="2">
        <f t="shared" ref="B106:B169" si="2">IF(MONTH(DATEVALUE(A106))&gt;=4, YEAR(DATEVALUE(A106)), YEAR(DATEVALUE(A106))-1)</f>
        <v>2015</v>
      </c>
      <c r="C106" s="3">
        <v>100.1</v>
      </c>
      <c r="D106" s="3">
        <v>100.1</v>
      </c>
      <c r="E106" s="3">
        <v>100.3</v>
      </c>
      <c r="F106" s="3">
        <v>100.3</v>
      </c>
    </row>
    <row r="107" spans="1:6" ht="17" x14ac:dyDescent="0.2">
      <c r="A107" s="2" t="s">
        <v>104</v>
      </c>
      <c r="B107" s="2">
        <f t="shared" si="2"/>
        <v>2015</v>
      </c>
      <c r="C107" s="3">
        <v>100.2</v>
      </c>
      <c r="D107" s="3">
        <v>100.1</v>
      </c>
      <c r="E107" s="3">
        <v>100.4</v>
      </c>
      <c r="F107" s="3">
        <v>100.4</v>
      </c>
    </row>
    <row r="108" spans="1:6" ht="17" x14ac:dyDescent="0.2">
      <c r="A108" s="2" t="s">
        <v>105</v>
      </c>
      <c r="B108" s="2">
        <f t="shared" si="2"/>
        <v>2015</v>
      </c>
      <c r="C108" s="3">
        <v>100.2</v>
      </c>
      <c r="D108" s="3">
        <v>100.2</v>
      </c>
      <c r="E108" s="3">
        <v>100.5</v>
      </c>
      <c r="F108" s="3">
        <v>100.4</v>
      </c>
    </row>
    <row r="109" spans="1:6" ht="17" x14ac:dyDescent="0.2">
      <c r="A109" s="2" t="s">
        <v>106</v>
      </c>
      <c r="B109" s="2">
        <f t="shared" si="2"/>
        <v>2015</v>
      </c>
      <c r="C109" s="3">
        <v>99.7</v>
      </c>
      <c r="D109" s="3">
        <v>99.7</v>
      </c>
      <c r="E109" s="3">
        <v>100.1</v>
      </c>
      <c r="F109" s="3">
        <v>99.9</v>
      </c>
    </row>
    <row r="110" spans="1:6" ht="17" x14ac:dyDescent="0.2">
      <c r="A110" s="2" t="s">
        <v>107</v>
      </c>
      <c r="B110" s="2">
        <f t="shared" si="2"/>
        <v>2015</v>
      </c>
      <c r="C110" s="3">
        <v>99.8</v>
      </c>
      <c r="D110" s="3">
        <v>99.9</v>
      </c>
      <c r="E110" s="3">
        <v>100.3</v>
      </c>
      <c r="F110" s="3">
        <v>100.1</v>
      </c>
    </row>
    <row r="111" spans="1:6" ht="17" x14ac:dyDescent="0.2">
      <c r="A111" s="2" t="s">
        <v>108</v>
      </c>
      <c r="B111" s="2">
        <f t="shared" si="2"/>
        <v>2015</v>
      </c>
      <c r="C111" s="3">
        <v>100.1</v>
      </c>
      <c r="D111" s="3">
        <v>100</v>
      </c>
      <c r="E111" s="3">
        <v>100.5</v>
      </c>
      <c r="F111" s="3">
        <v>100.1</v>
      </c>
    </row>
    <row r="112" spans="1:6" ht="17" x14ac:dyDescent="0.2">
      <c r="A112" s="2" t="s">
        <v>109</v>
      </c>
      <c r="B112" s="2">
        <f t="shared" si="2"/>
        <v>2016</v>
      </c>
      <c r="C112" s="3">
        <v>100.3</v>
      </c>
      <c r="D112" s="3">
        <v>100.3</v>
      </c>
      <c r="E112" s="3">
        <v>100.8</v>
      </c>
      <c r="F112" s="3">
        <v>100.2</v>
      </c>
    </row>
    <row r="113" spans="1:6" ht="17" x14ac:dyDescent="0.2">
      <c r="A113" s="2" t="s">
        <v>110</v>
      </c>
      <c r="B113" s="2">
        <f t="shared" si="2"/>
        <v>2016</v>
      </c>
      <c r="C113" s="3">
        <v>100.5</v>
      </c>
      <c r="D113" s="3">
        <v>100.5</v>
      </c>
      <c r="E113" s="3">
        <v>101</v>
      </c>
      <c r="F113" s="3">
        <v>100.3</v>
      </c>
    </row>
    <row r="114" spans="1:6" ht="17" x14ac:dyDescent="0.2">
      <c r="A114" s="2" t="s">
        <v>111</v>
      </c>
      <c r="B114" s="2">
        <f t="shared" si="2"/>
        <v>2016</v>
      </c>
      <c r="C114" s="3">
        <v>100.7</v>
      </c>
      <c r="D114" s="3">
        <v>100.8</v>
      </c>
      <c r="E114" s="3">
        <v>101.2</v>
      </c>
      <c r="F114" s="3">
        <v>100.4</v>
      </c>
    </row>
    <row r="115" spans="1:6" ht="17" x14ac:dyDescent="0.2">
      <c r="A115" s="2" t="s">
        <v>112</v>
      </c>
      <c r="B115" s="2">
        <f t="shared" si="2"/>
        <v>2016</v>
      </c>
      <c r="C115" s="3">
        <v>100.7</v>
      </c>
      <c r="D115" s="3">
        <v>100.7</v>
      </c>
      <c r="E115" s="3">
        <v>101.2</v>
      </c>
      <c r="F115" s="3">
        <v>100.3</v>
      </c>
    </row>
    <row r="116" spans="1:6" ht="17" x14ac:dyDescent="0.2">
      <c r="A116" s="2" t="s">
        <v>113</v>
      </c>
      <c r="B116" s="2">
        <f t="shared" si="2"/>
        <v>2016</v>
      </c>
      <c r="C116" s="3">
        <v>100.6</v>
      </c>
      <c r="D116" s="3">
        <v>100.9</v>
      </c>
      <c r="E116" s="3">
        <v>101.4</v>
      </c>
      <c r="F116" s="3">
        <v>100.5</v>
      </c>
    </row>
    <row r="117" spans="1:6" ht="17" x14ac:dyDescent="0.2">
      <c r="A117" s="2" t="s">
        <v>114</v>
      </c>
      <c r="B117" s="2">
        <f t="shared" si="2"/>
        <v>2016</v>
      </c>
      <c r="C117" s="3">
        <v>101.1</v>
      </c>
      <c r="D117" s="3">
        <v>101.2</v>
      </c>
      <c r="E117" s="3">
        <v>101.7</v>
      </c>
      <c r="F117" s="3">
        <v>100.7</v>
      </c>
    </row>
    <row r="118" spans="1:6" ht="17" x14ac:dyDescent="0.2">
      <c r="A118" s="2" t="s">
        <v>115</v>
      </c>
      <c r="B118" s="2">
        <f t="shared" si="2"/>
        <v>2016</v>
      </c>
      <c r="C118" s="3">
        <v>101</v>
      </c>
      <c r="D118" s="3">
        <v>101.3</v>
      </c>
      <c r="E118" s="3">
        <v>101.8</v>
      </c>
      <c r="F118" s="3">
        <v>100.7</v>
      </c>
    </row>
    <row r="119" spans="1:6" ht="17" x14ac:dyDescent="0.2">
      <c r="A119" s="2" t="s">
        <v>116</v>
      </c>
      <c r="B119" s="2">
        <f t="shared" si="2"/>
        <v>2016</v>
      </c>
      <c r="C119" s="3">
        <v>101.2</v>
      </c>
      <c r="D119" s="3">
        <v>101.5</v>
      </c>
      <c r="E119" s="3">
        <v>102</v>
      </c>
      <c r="F119" s="3">
        <v>100.9</v>
      </c>
    </row>
    <row r="120" spans="1:6" ht="17" x14ac:dyDescent="0.2">
      <c r="A120" s="2" t="s">
        <v>117</v>
      </c>
      <c r="B120" s="2">
        <f t="shared" si="2"/>
        <v>2016</v>
      </c>
      <c r="C120" s="3">
        <v>101.5</v>
      </c>
      <c r="D120" s="3">
        <v>101.8</v>
      </c>
      <c r="E120" s="3">
        <v>102.3</v>
      </c>
      <c r="F120" s="3">
        <v>101.1</v>
      </c>
    </row>
    <row r="121" spans="1:6" ht="17" x14ac:dyDescent="0.2">
      <c r="A121" s="2" t="s">
        <v>118</v>
      </c>
      <c r="B121" s="2">
        <f t="shared" si="2"/>
        <v>2016</v>
      </c>
      <c r="C121" s="3">
        <v>101.1</v>
      </c>
      <c r="D121" s="3">
        <v>101.5</v>
      </c>
      <c r="E121" s="3">
        <v>102</v>
      </c>
      <c r="F121" s="3">
        <v>100.9</v>
      </c>
    </row>
    <row r="122" spans="1:6" ht="17" x14ac:dyDescent="0.2">
      <c r="A122" s="2" t="s">
        <v>119</v>
      </c>
      <c r="B122" s="2">
        <f t="shared" si="2"/>
        <v>2016</v>
      </c>
      <c r="C122" s="3">
        <v>101.8</v>
      </c>
      <c r="D122" s="3">
        <v>102.2</v>
      </c>
      <c r="E122" s="3">
        <v>102.6</v>
      </c>
      <c r="F122" s="3">
        <v>101.5</v>
      </c>
    </row>
    <row r="123" spans="1:6" ht="17" x14ac:dyDescent="0.2">
      <c r="A123" s="2" t="s">
        <v>120</v>
      </c>
      <c r="B123" s="2">
        <f t="shared" si="2"/>
        <v>2016</v>
      </c>
      <c r="C123" s="3">
        <v>102.1</v>
      </c>
      <c r="D123" s="3">
        <v>102.5</v>
      </c>
      <c r="E123" s="3">
        <v>102.9</v>
      </c>
      <c r="F123" s="3">
        <v>101.9</v>
      </c>
    </row>
    <row r="124" spans="1:6" ht="17" x14ac:dyDescent="0.2">
      <c r="A124" s="2" t="s">
        <v>121</v>
      </c>
      <c r="B124" s="2">
        <f t="shared" si="2"/>
        <v>2017</v>
      </c>
      <c r="C124" s="3">
        <v>102.7</v>
      </c>
      <c r="D124" s="3">
        <v>103.2</v>
      </c>
      <c r="E124" s="3">
        <v>103.5</v>
      </c>
      <c r="F124" s="3">
        <v>102.2</v>
      </c>
    </row>
    <row r="125" spans="1:6" ht="17" x14ac:dyDescent="0.2">
      <c r="A125" s="2" t="s">
        <v>122</v>
      </c>
      <c r="B125" s="2">
        <f t="shared" si="2"/>
        <v>2017</v>
      </c>
      <c r="C125" s="3">
        <v>103.1</v>
      </c>
      <c r="D125" s="3">
        <v>103.5</v>
      </c>
      <c r="E125" s="3">
        <v>103.8</v>
      </c>
      <c r="F125" s="3">
        <v>102.6</v>
      </c>
    </row>
    <row r="126" spans="1:6" ht="17" x14ac:dyDescent="0.2">
      <c r="A126" s="2" t="s">
        <v>123</v>
      </c>
      <c r="B126" s="2">
        <f t="shared" si="2"/>
        <v>2017</v>
      </c>
      <c r="C126" s="3">
        <v>103.1</v>
      </c>
      <c r="D126" s="3">
        <v>103.6</v>
      </c>
      <c r="E126" s="3">
        <v>103.8</v>
      </c>
      <c r="F126" s="3">
        <v>102.6</v>
      </c>
    </row>
    <row r="127" spans="1:6" ht="17" x14ac:dyDescent="0.2">
      <c r="A127" s="2" t="s">
        <v>124</v>
      </c>
      <c r="B127" s="2">
        <f t="shared" si="2"/>
        <v>2017</v>
      </c>
      <c r="C127" s="3">
        <v>103.1</v>
      </c>
      <c r="D127" s="3">
        <v>103.6</v>
      </c>
      <c r="E127" s="3">
        <v>103.8</v>
      </c>
      <c r="F127" s="3">
        <v>102.5</v>
      </c>
    </row>
    <row r="128" spans="1:6" ht="17" x14ac:dyDescent="0.2">
      <c r="A128" s="2" t="s">
        <v>125</v>
      </c>
      <c r="B128" s="2">
        <f t="shared" si="2"/>
        <v>2017</v>
      </c>
      <c r="C128" s="3">
        <v>103.6</v>
      </c>
      <c r="D128" s="3">
        <v>104.1</v>
      </c>
      <c r="E128" s="3">
        <v>104.3</v>
      </c>
      <c r="F128" s="3">
        <v>102.9</v>
      </c>
    </row>
    <row r="129" spans="1:6" ht="17" x14ac:dyDescent="0.2">
      <c r="A129" s="2" t="s">
        <v>126</v>
      </c>
      <c r="B129" s="2">
        <f t="shared" si="2"/>
        <v>2017</v>
      </c>
      <c r="C129" s="3">
        <v>103.9</v>
      </c>
      <c r="D129" s="3">
        <v>104.5</v>
      </c>
      <c r="E129" s="3">
        <v>104.5</v>
      </c>
      <c r="F129" s="3">
        <v>103.3</v>
      </c>
    </row>
    <row r="130" spans="1:6" ht="17" x14ac:dyDescent="0.2">
      <c r="A130" s="2" t="s">
        <v>127</v>
      </c>
      <c r="B130" s="2">
        <f t="shared" si="2"/>
        <v>2017</v>
      </c>
      <c r="C130" s="3">
        <v>104</v>
      </c>
      <c r="D130" s="3">
        <v>104.6</v>
      </c>
      <c r="E130" s="3">
        <v>104.6</v>
      </c>
      <c r="F130" s="3">
        <v>103.3</v>
      </c>
    </row>
    <row r="131" spans="1:6" ht="17" x14ac:dyDescent="0.2">
      <c r="A131" s="2" t="s">
        <v>128</v>
      </c>
      <c r="B131" s="2">
        <f t="shared" si="2"/>
        <v>2017</v>
      </c>
      <c r="C131" s="3">
        <v>104.3</v>
      </c>
      <c r="D131" s="3">
        <v>104.9</v>
      </c>
      <c r="E131" s="3">
        <v>104.9</v>
      </c>
      <c r="F131" s="3">
        <v>103.6</v>
      </c>
    </row>
    <row r="132" spans="1:6" ht="17" x14ac:dyDescent="0.2">
      <c r="A132" s="2" t="s">
        <v>129</v>
      </c>
      <c r="B132" s="2">
        <f t="shared" si="2"/>
        <v>2017</v>
      </c>
      <c r="C132" s="3">
        <v>104.7</v>
      </c>
      <c r="D132" s="3">
        <v>105.3</v>
      </c>
      <c r="E132" s="3">
        <v>105.2</v>
      </c>
      <c r="F132" s="3">
        <v>103.8</v>
      </c>
    </row>
    <row r="133" spans="1:6" ht="17" x14ac:dyDescent="0.2">
      <c r="A133" s="2" t="s">
        <v>130</v>
      </c>
      <c r="B133" s="2">
        <f t="shared" si="2"/>
        <v>2017</v>
      </c>
      <c r="C133" s="3">
        <v>104.1</v>
      </c>
      <c r="D133" s="3">
        <v>104.9</v>
      </c>
      <c r="E133" s="3">
        <v>104.8</v>
      </c>
      <c r="F133" s="3">
        <v>103.6</v>
      </c>
    </row>
    <row r="134" spans="1:6" ht="17" x14ac:dyDescent="0.2">
      <c r="A134" s="2" t="s">
        <v>131</v>
      </c>
      <c r="B134" s="2">
        <f t="shared" si="2"/>
        <v>2017</v>
      </c>
      <c r="C134" s="3">
        <v>104.5</v>
      </c>
      <c r="D134" s="3">
        <v>105.3</v>
      </c>
      <c r="E134" s="3">
        <v>105.2</v>
      </c>
      <c r="F134" s="3">
        <v>103.9</v>
      </c>
    </row>
    <row r="135" spans="1:6" ht="17" x14ac:dyDescent="0.2">
      <c r="A135" s="2" t="s">
        <v>132</v>
      </c>
      <c r="B135" s="2">
        <f t="shared" si="2"/>
        <v>2017</v>
      </c>
      <c r="C135" s="3">
        <v>104.6</v>
      </c>
      <c r="D135" s="3">
        <v>105.4</v>
      </c>
      <c r="E135" s="3">
        <v>105.2</v>
      </c>
      <c r="F135" s="3">
        <v>104</v>
      </c>
    </row>
    <row r="136" spans="1:6" ht="17" x14ac:dyDescent="0.2">
      <c r="A136" s="2" t="s">
        <v>133</v>
      </c>
      <c r="B136" s="2">
        <f t="shared" si="2"/>
        <v>2018</v>
      </c>
      <c r="C136" s="3">
        <v>105.2</v>
      </c>
      <c r="D136" s="3">
        <v>106.1</v>
      </c>
      <c r="E136" s="3">
        <v>105.7</v>
      </c>
      <c r="F136" s="3">
        <v>104.4</v>
      </c>
    </row>
    <row r="137" spans="1:6" ht="17" x14ac:dyDescent="0.2">
      <c r="A137" s="2" t="s">
        <v>134</v>
      </c>
      <c r="B137" s="2">
        <f t="shared" si="2"/>
        <v>2018</v>
      </c>
      <c r="C137" s="3">
        <v>105.5</v>
      </c>
      <c r="D137" s="3">
        <v>106.4</v>
      </c>
      <c r="E137" s="3">
        <v>105.9</v>
      </c>
      <c r="F137" s="3">
        <v>104.6</v>
      </c>
    </row>
    <row r="138" spans="1:6" ht="17" x14ac:dyDescent="0.2">
      <c r="A138" s="2" t="s">
        <v>135</v>
      </c>
      <c r="B138" s="2">
        <f t="shared" si="2"/>
        <v>2018</v>
      </c>
      <c r="C138" s="3">
        <v>105.6</v>
      </c>
      <c r="D138" s="3">
        <v>106.5</v>
      </c>
      <c r="E138" s="3">
        <v>106</v>
      </c>
      <c r="F138" s="3">
        <v>104.6</v>
      </c>
    </row>
    <row r="139" spans="1:6" ht="17" x14ac:dyDescent="0.2">
      <c r="A139" s="2" t="s">
        <v>136</v>
      </c>
      <c r="B139" s="2">
        <f t="shared" si="2"/>
        <v>2018</v>
      </c>
      <c r="C139" s="3">
        <v>105.6</v>
      </c>
      <c r="D139" s="3">
        <v>106.5</v>
      </c>
      <c r="E139" s="3">
        <v>106.1</v>
      </c>
      <c r="F139" s="3">
        <v>104.7</v>
      </c>
    </row>
    <row r="140" spans="1:6" ht="17" x14ac:dyDescent="0.2">
      <c r="A140" s="2" t="s">
        <v>137</v>
      </c>
      <c r="B140" s="2">
        <f t="shared" si="2"/>
        <v>2018</v>
      </c>
      <c r="C140" s="3">
        <v>106.5</v>
      </c>
      <c r="D140" s="3">
        <v>107.1</v>
      </c>
      <c r="E140" s="3">
        <v>106.6</v>
      </c>
      <c r="F140" s="3">
        <v>105.2</v>
      </c>
    </row>
    <row r="141" spans="1:6" ht="17" x14ac:dyDescent="0.2">
      <c r="A141" s="2" t="s">
        <v>138</v>
      </c>
      <c r="B141" s="2">
        <f t="shared" si="2"/>
        <v>2018</v>
      </c>
      <c r="C141" s="3">
        <v>106.5</v>
      </c>
      <c r="D141" s="3">
        <v>107.3</v>
      </c>
      <c r="E141" s="3">
        <v>106.7</v>
      </c>
      <c r="F141" s="3">
        <v>105.4</v>
      </c>
    </row>
    <row r="142" spans="1:6" ht="17" x14ac:dyDescent="0.2">
      <c r="A142" s="2" t="s">
        <v>139</v>
      </c>
      <c r="B142" s="2">
        <f t="shared" si="2"/>
        <v>2018</v>
      </c>
      <c r="C142" s="3">
        <v>106.7</v>
      </c>
      <c r="D142" s="3">
        <v>107.4</v>
      </c>
      <c r="E142" s="3">
        <v>106.8</v>
      </c>
      <c r="F142" s="3">
        <v>105.5</v>
      </c>
    </row>
    <row r="143" spans="1:6" ht="17" x14ac:dyDescent="0.2">
      <c r="A143" s="2" t="s">
        <v>140</v>
      </c>
      <c r="B143" s="2">
        <f t="shared" si="2"/>
        <v>2018</v>
      </c>
      <c r="C143" s="3">
        <v>106.8</v>
      </c>
      <c r="D143" s="3">
        <v>107.6</v>
      </c>
      <c r="E143" s="3">
        <v>106.9</v>
      </c>
      <c r="F143" s="3">
        <v>105.7</v>
      </c>
    </row>
    <row r="144" spans="1:6" ht="17" x14ac:dyDescent="0.2">
      <c r="A144" s="2" t="s">
        <v>141</v>
      </c>
      <c r="B144" s="2">
        <f t="shared" si="2"/>
        <v>2018</v>
      </c>
      <c r="C144" s="3">
        <v>106.9</v>
      </c>
      <c r="D144" s="3">
        <v>107.7</v>
      </c>
      <c r="E144" s="3">
        <v>107.1</v>
      </c>
      <c r="F144" s="3">
        <v>105.8</v>
      </c>
    </row>
    <row r="145" spans="1:6" ht="17" x14ac:dyDescent="0.2">
      <c r="A145" s="2" t="s">
        <v>142</v>
      </c>
      <c r="B145" s="2">
        <f t="shared" si="2"/>
        <v>2018</v>
      </c>
      <c r="C145" s="3">
        <v>106.2</v>
      </c>
      <c r="D145" s="3">
        <v>106.9</v>
      </c>
      <c r="E145" s="3">
        <v>106.5</v>
      </c>
      <c r="F145" s="3">
        <v>105</v>
      </c>
    </row>
    <row r="146" spans="1:6" ht="17" x14ac:dyDescent="0.2">
      <c r="A146" s="2" t="s">
        <v>143</v>
      </c>
      <c r="B146" s="2">
        <f t="shared" si="2"/>
        <v>2018</v>
      </c>
      <c r="C146" s="3">
        <v>106.6</v>
      </c>
      <c r="D146" s="3">
        <v>107.4</v>
      </c>
      <c r="E146" s="3">
        <v>106.9</v>
      </c>
      <c r="F146" s="3">
        <v>105.3</v>
      </c>
    </row>
    <row r="147" spans="1:6" ht="17" x14ac:dyDescent="0.2">
      <c r="A147" s="2" t="s">
        <v>144</v>
      </c>
      <c r="B147" s="2">
        <f t="shared" si="2"/>
        <v>2018</v>
      </c>
      <c r="C147" s="3">
        <v>106.8</v>
      </c>
      <c r="D147" s="3">
        <v>107.5</v>
      </c>
      <c r="E147" s="3">
        <v>107.1</v>
      </c>
      <c r="F147" s="3">
        <v>105.5</v>
      </c>
    </row>
    <row r="148" spans="1:6" ht="17" x14ac:dyDescent="0.2">
      <c r="A148" s="2" t="s">
        <v>145</v>
      </c>
      <c r="B148" s="2">
        <f t="shared" si="2"/>
        <v>2019</v>
      </c>
      <c r="C148" s="3">
        <v>107.7</v>
      </c>
      <c r="D148" s="3">
        <v>108.7</v>
      </c>
      <c r="E148" s="3">
        <v>107.9</v>
      </c>
      <c r="F148" s="3">
        <v>106.6</v>
      </c>
    </row>
    <row r="149" spans="1:6" ht="17" x14ac:dyDescent="0.2">
      <c r="A149" s="2" t="s">
        <v>146</v>
      </c>
      <c r="B149" s="2">
        <f t="shared" si="2"/>
        <v>2019</v>
      </c>
      <c r="C149" s="3">
        <v>108</v>
      </c>
      <c r="D149" s="3">
        <v>109</v>
      </c>
      <c r="E149" s="3">
        <v>108.2</v>
      </c>
      <c r="F149" s="3">
        <v>106.8</v>
      </c>
    </row>
    <row r="150" spans="1:6" ht="17" x14ac:dyDescent="0.2">
      <c r="A150" s="2" t="s">
        <v>147</v>
      </c>
      <c r="B150" s="2">
        <f t="shared" si="2"/>
        <v>2019</v>
      </c>
      <c r="C150" s="3">
        <v>108</v>
      </c>
      <c r="D150" s="3">
        <v>109.1</v>
      </c>
      <c r="E150" s="3">
        <v>108.2</v>
      </c>
      <c r="F150" s="3">
        <v>106.8</v>
      </c>
    </row>
    <row r="151" spans="1:6" ht="17" x14ac:dyDescent="0.2">
      <c r="A151" s="2" t="s">
        <v>148</v>
      </c>
      <c r="B151" s="2">
        <f t="shared" si="2"/>
        <v>2019</v>
      </c>
      <c r="C151" s="3">
        <v>108.1</v>
      </c>
      <c r="D151" s="3">
        <v>109.1</v>
      </c>
      <c r="E151" s="3">
        <v>108.3</v>
      </c>
      <c r="F151" s="3">
        <v>106.7</v>
      </c>
    </row>
    <row r="152" spans="1:6" ht="17" x14ac:dyDescent="0.2">
      <c r="A152" s="2" t="s">
        <v>149</v>
      </c>
      <c r="B152" s="2">
        <f t="shared" si="2"/>
        <v>2019</v>
      </c>
      <c r="C152" s="3">
        <v>108.5</v>
      </c>
      <c r="D152" s="3">
        <v>109.5</v>
      </c>
      <c r="E152" s="3">
        <v>108.6</v>
      </c>
      <c r="F152" s="3">
        <v>107</v>
      </c>
    </row>
    <row r="153" spans="1:6" ht="17" x14ac:dyDescent="0.2">
      <c r="A153" s="2" t="s">
        <v>150</v>
      </c>
      <c r="B153" s="2">
        <f t="shared" si="2"/>
        <v>2019</v>
      </c>
      <c r="C153" s="3">
        <v>108.6</v>
      </c>
      <c r="D153" s="3">
        <v>109.6</v>
      </c>
      <c r="E153" s="3">
        <v>108.6</v>
      </c>
      <c r="F153" s="3">
        <v>107.1</v>
      </c>
    </row>
    <row r="154" spans="1:6" ht="17" x14ac:dyDescent="0.2">
      <c r="A154" s="2" t="s">
        <v>151</v>
      </c>
      <c r="B154" s="2">
        <f t="shared" si="2"/>
        <v>2019</v>
      </c>
      <c r="C154" s="3">
        <v>108.3</v>
      </c>
      <c r="D154" s="3">
        <v>109.2</v>
      </c>
      <c r="E154" s="3">
        <v>108.5</v>
      </c>
      <c r="F154" s="3">
        <v>106.7</v>
      </c>
    </row>
    <row r="155" spans="1:6" ht="17" x14ac:dyDescent="0.2">
      <c r="A155" s="2" t="s">
        <v>152</v>
      </c>
      <c r="B155" s="2">
        <f t="shared" si="2"/>
        <v>2019</v>
      </c>
      <c r="C155" s="3">
        <v>108.6</v>
      </c>
      <c r="D155" s="3">
        <v>109.5</v>
      </c>
      <c r="E155" s="3">
        <v>108.7</v>
      </c>
      <c r="F155" s="3">
        <v>106.9</v>
      </c>
    </row>
    <row r="156" spans="1:6" ht="17" x14ac:dyDescent="0.2">
      <c r="A156" s="2" t="s">
        <v>153</v>
      </c>
      <c r="B156" s="2">
        <f t="shared" si="2"/>
        <v>2019</v>
      </c>
      <c r="C156" s="3">
        <v>108.6</v>
      </c>
      <c r="D156" s="3">
        <v>109.5</v>
      </c>
      <c r="E156" s="3">
        <v>108.8</v>
      </c>
      <c r="F156" s="3">
        <v>107</v>
      </c>
    </row>
    <row r="157" spans="1:6" ht="17" x14ac:dyDescent="0.2">
      <c r="A157" s="2" t="s">
        <v>154</v>
      </c>
      <c r="B157" s="2">
        <f t="shared" si="2"/>
        <v>2019</v>
      </c>
      <c r="C157" s="3">
        <v>108.2</v>
      </c>
      <c r="D157" s="3">
        <v>109.3</v>
      </c>
      <c r="E157" s="3">
        <v>108.6</v>
      </c>
      <c r="F157" s="3">
        <v>106.7</v>
      </c>
    </row>
    <row r="158" spans="1:6" ht="17" x14ac:dyDescent="0.2">
      <c r="A158" s="2" t="s">
        <v>155</v>
      </c>
      <c r="B158" s="2">
        <f t="shared" si="2"/>
        <v>2019</v>
      </c>
      <c r="C158" s="3">
        <v>108.6</v>
      </c>
      <c r="D158" s="3">
        <v>109.7</v>
      </c>
      <c r="E158" s="3">
        <v>108.9</v>
      </c>
      <c r="F158" s="3">
        <v>107</v>
      </c>
    </row>
    <row r="159" spans="1:6" ht="17" x14ac:dyDescent="0.2">
      <c r="A159" s="2" t="s">
        <v>156</v>
      </c>
      <c r="B159" s="2">
        <f t="shared" si="2"/>
        <v>2019</v>
      </c>
      <c r="C159" s="3">
        <v>108.7</v>
      </c>
      <c r="D159" s="3">
        <v>109.7</v>
      </c>
      <c r="E159" s="3">
        <v>109</v>
      </c>
      <c r="F159" s="3">
        <v>107.1</v>
      </c>
    </row>
    <row r="160" spans="1:6" ht="17" x14ac:dyDescent="0.2">
      <c r="A160" s="2" t="s">
        <v>157</v>
      </c>
      <c r="B160" s="2">
        <f t="shared" si="2"/>
        <v>2020</v>
      </c>
      <c r="C160" s="3">
        <v>108.5</v>
      </c>
      <c r="D160" s="3">
        <v>109.6</v>
      </c>
      <c r="E160" s="3">
        <v>109</v>
      </c>
      <c r="F160" s="3">
        <v>107.3</v>
      </c>
    </row>
    <row r="161" spans="1:6" ht="17" x14ac:dyDescent="0.2">
      <c r="A161" s="2" t="s">
        <v>158</v>
      </c>
      <c r="B161" s="2">
        <f t="shared" si="2"/>
        <v>2020</v>
      </c>
      <c r="C161" s="3">
        <v>108.1</v>
      </c>
      <c r="D161" s="3">
        <v>109.6</v>
      </c>
      <c r="E161" s="3">
        <v>109</v>
      </c>
      <c r="F161" s="3">
        <v>107.3</v>
      </c>
    </row>
    <row r="162" spans="1:6" ht="17" x14ac:dyDescent="0.2">
      <c r="A162" s="2" t="s">
        <v>159</v>
      </c>
      <c r="B162" s="2">
        <f t="shared" si="2"/>
        <v>2020</v>
      </c>
      <c r="C162" s="3">
        <v>108.1</v>
      </c>
      <c r="D162" s="3">
        <v>109.6</v>
      </c>
      <c r="E162" s="3">
        <v>109.1</v>
      </c>
      <c r="F162" s="3">
        <v>107.3</v>
      </c>
    </row>
    <row r="163" spans="1:6" ht="17" x14ac:dyDescent="0.2">
      <c r="A163" s="2" t="s">
        <v>160</v>
      </c>
      <c r="B163" s="2">
        <f t="shared" si="2"/>
        <v>2020</v>
      </c>
      <c r="C163" s="3">
        <v>108</v>
      </c>
      <c r="D163" s="3">
        <v>109.6</v>
      </c>
      <c r="E163" s="3">
        <v>109.4</v>
      </c>
      <c r="F163" s="3">
        <v>107.8</v>
      </c>
    </row>
    <row r="164" spans="1:6" ht="17" x14ac:dyDescent="0.2">
      <c r="A164" s="2" t="s">
        <v>161</v>
      </c>
      <c r="B164" s="2">
        <f t="shared" si="2"/>
        <v>2020</v>
      </c>
      <c r="C164" s="3">
        <v>107.5</v>
      </c>
      <c r="D164" s="3">
        <v>109.2</v>
      </c>
      <c r="E164" s="3">
        <v>109.1</v>
      </c>
      <c r="F164" s="3">
        <v>107.6</v>
      </c>
    </row>
    <row r="165" spans="1:6" ht="17" x14ac:dyDescent="0.2">
      <c r="A165" s="2" t="s">
        <v>162</v>
      </c>
      <c r="B165" s="2">
        <f t="shared" si="2"/>
        <v>2020</v>
      </c>
      <c r="C165" s="3">
        <v>107.9</v>
      </c>
      <c r="D165" s="3">
        <v>109.5</v>
      </c>
      <c r="E165" s="3">
        <v>109.4</v>
      </c>
      <c r="F165" s="3">
        <v>107.8</v>
      </c>
    </row>
    <row r="166" spans="1:6" ht="17" x14ac:dyDescent="0.2">
      <c r="A166" s="2" t="s">
        <v>163</v>
      </c>
      <c r="B166" s="2">
        <f t="shared" si="2"/>
        <v>2020</v>
      </c>
      <c r="C166" s="3">
        <v>107.9</v>
      </c>
      <c r="D166" s="3">
        <v>109.3</v>
      </c>
      <c r="E166" s="3">
        <v>109.3</v>
      </c>
      <c r="F166" s="3">
        <v>107.5</v>
      </c>
    </row>
    <row r="167" spans="1:6" ht="17" x14ac:dyDescent="0.2">
      <c r="A167" s="2" t="s">
        <v>164</v>
      </c>
      <c r="B167" s="2">
        <f t="shared" si="2"/>
        <v>2020</v>
      </c>
      <c r="C167" s="3">
        <v>107.6</v>
      </c>
      <c r="D167" s="3">
        <v>109.1</v>
      </c>
      <c r="E167" s="3">
        <v>109.1</v>
      </c>
      <c r="F167" s="3">
        <v>107.3</v>
      </c>
    </row>
    <row r="168" spans="1:6" ht="17" x14ac:dyDescent="0.2">
      <c r="A168" s="2" t="s">
        <v>165</v>
      </c>
      <c r="B168" s="2">
        <f t="shared" si="2"/>
        <v>2020</v>
      </c>
      <c r="C168" s="3">
        <v>107.9</v>
      </c>
      <c r="D168" s="3">
        <v>109.3</v>
      </c>
      <c r="E168" s="3">
        <v>109.4</v>
      </c>
      <c r="F168" s="3">
        <v>107.5</v>
      </c>
    </row>
    <row r="169" spans="1:6" ht="17" x14ac:dyDescent="0.2">
      <c r="A169" s="2" t="s">
        <v>166</v>
      </c>
      <c r="B169" s="2">
        <f t="shared" si="2"/>
        <v>2020</v>
      </c>
      <c r="C169" s="3">
        <v>107.7</v>
      </c>
      <c r="D169" s="3">
        <v>109.2</v>
      </c>
      <c r="E169" s="3">
        <v>109.3</v>
      </c>
      <c r="F169" s="3">
        <v>107.5</v>
      </c>
    </row>
    <row r="170" spans="1:6" ht="17" x14ac:dyDescent="0.2">
      <c r="A170" s="2" t="s">
        <v>167</v>
      </c>
      <c r="B170" s="2">
        <f t="shared" ref="B170:B213" si="3">IF(MONTH(DATEVALUE(A170))&gt;=4, YEAR(DATEVALUE(A170)), YEAR(DATEVALUE(A170))-1)</f>
        <v>2020</v>
      </c>
      <c r="C170" s="3">
        <v>107.8</v>
      </c>
      <c r="D170" s="3">
        <v>109.4</v>
      </c>
      <c r="E170" s="3">
        <v>109.4</v>
      </c>
      <c r="F170" s="3">
        <v>107.5</v>
      </c>
    </row>
    <row r="171" spans="1:6" ht="17" x14ac:dyDescent="0.2">
      <c r="A171" s="2" t="s">
        <v>168</v>
      </c>
      <c r="B171" s="2">
        <f t="shared" si="3"/>
        <v>2020</v>
      </c>
      <c r="C171" s="3">
        <v>108.2</v>
      </c>
      <c r="D171" s="3">
        <v>109.7</v>
      </c>
      <c r="E171" s="3">
        <v>109.6</v>
      </c>
      <c r="F171" s="3">
        <v>107.7</v>
      </c>
    </row>
    <row r="172" spans="1:6" ht="17" x14ac:dyDescent="0.2">
      <c r="A172" s="2" t="s">
        <v>169</v>
      </c>
      <c r="B172" s="2">
        <f t="shared" si="3"/>
        <v>2021</v>
      </c>
      <c r="C172" s="3">
        <v>109.1</v>
      </c>
      <c r="D172" s="3">
        <v>110.8</v>
      </c>
      <c r="E172" s="3">
        <v>110.4</v>
      </c>
      <c r="F172" s="3">
        <v>108.9</v>
      </c>
    </row>
    <row r="173" spans="1:6" ht="17" x14ac:dyDescent="0.2">
      <c r="A173" s="2" t="s">
        <v>170</v>
      </c>
      <c r="B173" s="2">
        <f t="shared" si="3"/>
        <v>2021</v>
      </c>
      <c r="C173" s="3">
        <v>109.7</v>
      </c>
      <c r="D173" s="3">
        <v>111.4</v>
      </c>
      <c r="E173" s="3">
        <v>110.8</v>
      </c>
      <c r="F173" s="3">
        <v>109.2</v>
      </c>
    </row>
    <row r="174" spans="1:6" ht="17" x14ac:dyDescent="0.2">
      <c r="A174" s="2" t="s">
        <v>171</v>
      </c>
      <c r="B174" s="2">
        <f t="shared" si="3"/>
        <v>2021</v>
      </c>
      <c r="C174" s="3">
        <v>110.3</v>
      </c>
      <c r="D174" s="3">
        <v>112</v>
      </c>
      <c r="E174" s="3">
        <v>111.3</v>
      </c>
      <c r="F174" s="3">
        <v>109.6</v>
      </c>
    </row>
    <row r="175" spans="1:6" ht="17" x14ac:dyDescent="0.2">
      <c r="A175" s="2" t="s">
        <v>172</v>
      </c>
      <c r="B175" s="2">
        <f t="shared" si="3"/>
        <v>2021</v>
      </c>
      <c r="C175" s="3">
        <v>110.7</v>
      </c>
      <c r="D175" s="3">
        <v>112.2</v>
      </c>
      <c r="E175" s="3">
        <v>111.3</v>
      </c>
      <c r="F175" s="3">
        <v>109.6</v>
      </c>
    </row>
    <row r="176" spans="1:6" ht="17" x14ac:dyDescent="0.2">
      <c r="A176" s="2" t="s">
        <v>173</v>
      </c>
      <c r="B176" s="2">
        <f t="shared" si="3"/>
        <v>2021</v>
      </c>
      <c r="C176" s="3">
        <v>111.5</v>
      </c>
      <c r="D176" s="3">
        <v>113</v>
      </c>
      <c r="E176" s="3">
        <v>111.9</v>
      </c>
      <c r="F176" s="3">
        <v>110.2</v>
      </c>
    </row>
    <row r="177" spans="1:6" ht="17" x14ac:dyDescent="0.2">
      <c r="A177" s="2" t="s">
        <v>174</v>
      </c>
      <c r="B177" s="2">
        <f t="shared" si="3"/>
        <v>2021</v>
      </c>
      <c r="C177" s="3">
        <v>111.9</v>
      </c>
      <c r="D177" s="3">
        <v>113.3</v>
      </c>
      <c r="E177" s="3">
        <v>112.1</v>
      </c>
      <c r="F177" s="3">
        <v>110.4</v>
      </c>
    </row>
    <row r="178" spans="1:6" ht="17" x14ac:dyDescent="0.2">
      <c r="A178" s="2" t="s">
        <v>175</v>
      </c>
      <c r="B178" s="2">
        <f t="shared" si="3"/>
        <v>2021</v>
      </c>
      <c r="C178" s="3">
        <v>113.1</v>
      </c>
      <c r="D178" s="3">
        <v>114.6</v>
      </c>
      <c r="E178" s="3">
        <v>113.1</v>
      </c>
      <c r="F178" s="3">
        <v>111.8</v>
      </c>
    </row>
    <row r="179" spans="1:6" ht="17" x14ac:dyDescent="0.2">
      <c r="A179" s="2" t="s">
        <v>176</v>
      </c>
      <c r="B179" s="2">
        <f t="shared" si="3"/>
        <v>2021</v>
      </c>
      <c r="C179" s="3">
        <v>113.9</v>
      </c>
      <c r="D179" s="3">
        <v>115.4</v>
      </c>
      <c r="E179" s="3">
        <v>113.8</v>
      </c>
      <c r="F179" s="3">
        <v>112.5</v>
      </c>
    </row>
    <row r="180" spans="1:6" ht="17" x14ac:dyDescent="0.2">
      <c r="A180" s="2" t="s">
        <v>177</v>
      </c>
      <c r="B180" s="2">
        <f t="shared" si="3"/>
        <v>2021</v>
      </c>
      <c r="C180" s="3">
        <v>114.6</v>
      </c>
      <c r="D180" s="3">
        <v>116.1</v>
      </c>
      <c r="E180" s="3">
        <v>114.3</v>
      </c>
      <c r="F180" s="3">
        <v>112.9</v>
      </c>
    </row>
    <row r="181" spans="1:6" ht="17" x14ac:dyDescent="0.2">
      <c r="A181" s="2" t="s">
        <v>178</v>
      </c>
      <c r="B181" s="2">
        <f t="shared" si="3"/>
        <v>2021</v>
      </c>
      <c r="C181" s="3">
        <v>114.7</v>
      </c>
      <c r="D181" s="3">
        <v>116.4</v>
      </c>
      <c r="E181" s="3">
        <v>114.3</v>
      </c>
      <c r="F181" s="3">
        <v>113.1</v>
      </c>
    </row>
    <row r="182" spans="1:6" ht="17" x14ac:dyDescent="0.2">
      <c r="A182" s="2" t="s">
        <v>179</v>
      </c>
      <c r="B182" s="2">
        <f t="shared" si="3"/>
        <v>2021</v>
      </c>
      <c r="C182" s="3">
        <v>115.7</v>
      </c>
      <c r="D182" s="3">
        <v>117.3</v>
      </c>
      <c r="E182" s="3">
        <v>115</v>
      </c>
      <c r="F182" s="3">
        <v>113.8</v>
      </c>
    </row>
    <row r="183" spans="1:6" ht="17" x14ac:dyDescent="0.2">
      <c r="A183" s="2" t="s">
        <v>180</v>
      </c>
      <c r="B183" s="2">
        <f t="shared" si="3"/>
        <v>2021</v>
      </c>
      <c r="C183" s="3">
        <v>117</v>
      </c>
      <c r="D183" s="3">
        <v>118.6</v>
      </c>
      <c r="E183" s="3">
        <v>116</v>
      </c>
      <c r="F183" s="3">
        <v>114.7</v>
      </c>
    </row>
    <row r="184" spans="1:6" ht="17" x14ac:dyDescent="0.2">
      <c r="A184" s="2" t="s">
        <v>181</v>
      </c>
      <c r="B184" s="2">
        <f t="shared" si="3"/>
        <v>2022</v>
      </c>
      <c r="C184" s="3">
        <v>120.2</v>
      </c>
      <c r="D184" s="3">
        <v>122.9</v>
      </c>
      <c r="E184" s="3">
        <v>118.9</v>
      </c>
      <c r="F184" s="3">
        <v>119.6</v>
      </c>
    </row>
    <row r="185" spans="1:6" ht="17" x14ac:dyDescent="0.2">
      <c r="A185" s="2" t="s">
        <v>182</v>
      </c>
      <c r="B185" s="2">
        <f t="shared" si="3"/>
        <v>2022</v>
      </c>
      <c r="C185" s="3">
        <v>121.1</v>
      </c>
      <c r="D185" s="3">
        <v>123.8</v>
      </c>
      <c r="E185" s="3">
        <v>119.6</v>
      </c>
      <c r="F185" s="3">
        <v>120.2</v>
      </c>
    </row>
    <row r="186" spans="1:6" ht="17" x14ac:dyDescent="0.2">
      <c r="A186" s="2" t="s">
        <v>183</v>
      </c>
      <c r="B186" s="2">
        <f t="shared" si="3"/>
        <v>2022</v>
      </c>
      <c r="C186" s="3">
        <v>122.2</v>
      </c>
      <c r="D186" s="3">
        <v>124.8</v>
      </c>
      <c r="E186" s="3">
        <v>120.5</v>
      </c>
      <c r="F186" s="3">
        <v>121</v>
      </c>
    </row>
    <row r="187" spans="1:6" ht="17" x14ac:dyDescent="0.2">
      <c r="A187" s="2" t="s">
        <v>184</v>
      </c>
      <c r="B187" s="2">
        <f t="shared" si="3"/>
        <v>2022</v>
      </c>
      <c r="C187" s="3">
        <v>123.4</v>
      </c>
      <c r="D187" s="3">
        <v>125.7</v>
      </c>
      <c r="E187" s="3">
        <v>121.3</v>
      </c>
      <c r="F187" s="3">
        <v>122.2</v>
      </c>
    </row>
    <row r="188" spans="1:6" ht="17" x14ac:dyDescent="0.2">
      <c r="A188" s="2" t="s">
        <v>185</v>
      </c>
      <c r="B188" s="2">
        <f t="shared" si="3"/>
        <v>2022</v>
      </c>
      <c r="C188" s="3">
        <v>124</v>
      </c>
      <c r="D188" s="3">
        <v>126.3</v>
      </c>
      <c r="E188" s="3">
        <v>121.8</v>
      </c>
      <c r="F188" s="3">
        <v>122.7</v>
      </c>
    </row>
    <row r="189" spans="1:6" ht="17" x14ac:dyDescent="0.2">
      <c r="A189" s="2" t="s">
        <v>186</v>
      </c>
      <c r="B189" s="2">
        <f t="shared" si="3"/>
        <v>2022</v>
      </c>
      <c r="C189" s="3">
        <v>124.9</v>
      </c>
      <c r="D189" s="3">
        <v>127.1</v>
      </c>
      <c r="E189" s="3">
        <v>122.4</v>
      </c>
      <c r="F189" s="3">
        <v>123.2</v>
      </c>
    </row>
    <row r="190" spans="1:6" ht="17" x14ac:dyDescent="0.2">
      <c r="A190" s="2" t="s">
        <v>187</v>
      </c>
      <c r="B190" s="2">
        <f t="shared" si="3"/>
        <v>2022</v>
      </c>
      <c r="C190" s="3">
        <v>127.6</v>
      </c>
      <c r="D190" s="3">
        <v>130.30000000000001</v>
      </c>
      <c r="E190" s="3">
        <v>124.6</v>
      </c>
      <c r="F190" s="3">
        <v>126.8</v>
      </c>
    </row>
    <row r="191" spans="1:6" ht="17" x14ac:dyDescent="0.2">
      <c r="A191" s="2" t="s">
        <v>188</v>
      </c>
      <c r="B191" s="2">
        <f t="shared" si="3"/>
        <v>2022</v>
      </c>
      <c r="C191" s="3">
        <v>128.5</v>
      </c>
      <c r="D191" s="3">
        <v>130.9</v>
      </c>
      <c r="E191" s="3">
        <v>125.2</v>
      </c>
      <c r="F191" s="3">
        <v>127.3</v>
      </c>
    </row>
    <row r="192" spans="1:6" ht="17" x14ac:dyDescent="0.2">
      <c r="A192" s="2" t="s">
        <v>189</v>
      </c>
      <c r="B192" s="2">
        <f t="shared" si="3"/>
        <v>2022</v>
      </c>
      <c r="C192" s="3">
        <v>129.30000000000001</v>
      </c>
      <c r="D192" s="3">
        <v>131.4</v>
      </c>
      <c r="E192" s="3">
        <v>125.8</v>
      </c>
      <c r="F192" s="3">
        <v>127.7</v>
      </c>
    </row>
    <row r="193" spans="1:6" ht="17" x14ac:dyDescent="0.2">
      <c r="A193" s="2" t="s">
        <v>190</v>
      </c>
      <c r="B193" s="2">
        <f t="shared" si="3"/>
        <v>2022</v>
      </c>
      <c r="C193" s="3">
        <v>129.19999999999999</v>
      </c>
      <c r="D193" s="3">
        <v>131.1</v>
      </c>
      <c r="E193" s="3">
        <v>125.5</v>
      </c>
      <c r="F193" s="3">
        <v>127.5</v>
      </c>
    </row>
    <row r="194" spans="1:6" ht="17" x14ac:dyDescent="0.2">
      <c r="A194" s="2" t="s">
        <v>191</v>
      </c>
      <c r="B194" s="2">
        <f t="shared" si="3"/>
        <v>2022</v>
      </c>
      <c r="C194" s="3">
        <v>131</v>
      </c>
      <c r="D194" s="3">
        <v>132.5</v>
      </c>
      <c r="E194" s="3">
        <v>126.7</v>
      </c>
      <c r="F194" s="3">
        <v>128.80000000000001</v>
      </c>
    </row>
    <row r="195" spans="1:6" ht="17" x14ac:dyDescent="0.2">
      <c r="A195" s="2" t="s">
        <v>192</v>
      </c>
      <c r="B195" s="2">
        <f t="shared" si="3"/>
        <v>2022</v>
      </c>
      <c r="C195" s="3">
        <v>132.19999999999999</v>
      </c>
      <c r="D195" s="3">
        <v>133.5</v>
      </c>
      <c r="E195" s="3">
        <v>127.6</v>
      </c>
      <c r="F195" s="3">
        <v>129.6</v>
      </c>
    </row>
    <row r="196" spans="1:6" ht="17" x14ac:dyDescent="0.2">
      <c r="A196" s="2" t="s">
        <v>193</v>
      </c>
      <c r="B196" s="2">
        <f t="shared" si="3"/>
        <v>2023</v>
      </c>
      <c r="C196" s="3">
        <v>134.30000000000001</v>
      </c>
      <c r="D196" s="3">
        <v>135.4</v>
      </c>
      <c r="E196" s="3">
        <v>129.19999999999999</v>
      </c>
      <c r="F196" s="3">
        <v>132.1</v>
      </c>
    </row>
    <row r="197" spans="1:6" ht="17" x14ac:dyDescent="0.2">
      <c r="A197" s="2" t="s">
        <v>194</v>
      </c>
      <c r="B197" s="2">
        <f t="shared" si="3"/>
        <v>2023</v>
      </c>
      <c r="C197" s="3">
        <v>135.19999999999999</v>
      </c>
      <c r="D197" s="3">
        <v>136.19999999999999</v>
      </c>
      <c r="E197" s="3">
        <v>130</v>
      </c>
      <c r="F197" s="3">
        <v>132.80000000000001</v>
      </c>
    </row>
    <row r="198" spans="1:6" ht="17" x14ac:dyDescent="0.2">
      <c r="A198" s="2" t="s">
        <v>195</v>
      </c>
      <c r="B198" s="2">
        <f t="shared" si="3"/>
        <v>2023</v>
      </c>
      <c r="C198" s="3">
        <v>135.9</v>
      </c>
      <c r="D198" s="3">
        <v>136.5</v>
      </c>
      <c r="E198" s="3">
        <v>130.5</v>
      </c>
      <c r="F198" s="3">
        <v>133.1</v>
      </c>
    </row>
    <row r="199" spans="1:6" x14ac:dyDescent="0.2">
      <c r="A199" s="4">
        <v>45108</v>
      </c>
      <c r="B199" s="2" t="e">
        <f t="shared" si="3"/>
        <v>#VALUE!</v>
      </c>
      <c r="C199" s="3">
        <v>135.6</v>
      </c>
      <c r="D199" s="3">
        <v>135.4</v>
      </c>
      <c r="E199" s="3">
        <v>130</v>
      </c>
      <c r="F199" s="3">
        <v>133.1</v>
      </c>
    </row>
    <row r="200" spans="1:6" ht="17" x14ac:dyDescent="0.2">
      <c r="A200" s="2" t="s">
        <v>196</v>
      </c>
      <c r="B200" s="2">
        <f t="shared" si="3"/>
        <v>2023</v>
      </c>
      <c r="C200" s="3">
        <v>136.5</v>
      </c>
      <c r="D200" s="3">
        <v>136</v>
      </c>
      <c r="E200" s="3">
        <v>130.6</v>
      </c>
      <c r="F200" s="3">
        <v>133.5</v>
      </c>
    </row>
    <row r="201" spans="1:6" ht="17" x14ac:dyDescent="0.2">
      <c r="A201" s="2" t="s">
        <v>197</v>
      </c>
      <c r="B201" s="2">
        <f t="shared" si="3"/>
        <v>2023</v>
      </c>
      <c r="C201" s="3">
        <v>137.30000000000001</v>
      </c>
      <c r="D201" s="3">
        <v>136.6</v>
      </c>
      <c r="E201" s="3">
        <v>131.19999999999999</v>
      </c>
      <c r="F201" s="3">
        <v>134</v>
      </c>
    </row>
    <row r="202" spans="1:6" ht="17" x14ac:dyDescent="0.2">
      <c r="A202" s="2" t="s">
        <v>198</v>
      </c>
      <c r="B202" s="2">
        <f t="shared" si="3"/>
        <v>2023</v>
      </c>
      <c r="C202" s="3">
        <v>137.69999999999999</v>
      </c>
      <c r="D202" s="3">
        <v>136.5</v>
      </c>
      <c r="E202" s="3">
        <v>131.30000000000001</v>
      </c>
      <c r="F202" s="3">
        <v>133.69999999999999</v>
      </c>
    </row>
    <row r="203" spans="1:6" ht="17" x14ac:dyDescent="0.2">
      <c r="A203" s="2" t="s">
        <v>199</v>
      </c>
      <c r="B203" s="2">
        <f t="shared" si="3"/>
        <v>2023</v>
      </c>
      <c r="C203" s="3">
        <v>137.5</v>
      </c>
      <c r="D203" s="3">
        <v>136.19999999999999</v>
      </c>
      <c r="E203" s="3">
        <v>131.30000000000001</v>
      </c>
      <c r="F203" s="3">
        <v>133.5</v>
      </c>
    </row>
    <row r="204" spans="1:6" ht="17" x14ac:dyDescent="0.2">
      <c r="A204" s="2" t="s">
        <v>200</v>
      </c>
      <c r="B204" s="2">
        <f t="shared" si="3"/>
        <v>2023</v>
      </c>
      <c r="C204" s="3">
        <v>137.9</v>
      </c>
      <c r="D204" s="3">
        <v>136.5</v>
      </c>
      <c r="E204" s="3">
        <v>131.9</v>
      </c>
      <c r="F204" s="3">
        <v>133.9</v>
      </c>
    </row>
    <row r="205" spans="1:6" ht="17" x14ac:dyDescent="0.2">
      <c r="A205" s="2" t="s">
        <v>201</v>
      </c>
      <c r="B205" s="2">
        <f t="shared" si="3"/>
        <v>2023</v>
      </c>
      <c r="C205" s="3">
        <v>137.80000000000001</v>
      </c>
      <c r="D205" s="3">
        <v>136.19999999999999</v>
      </c>
      <c r="E205" s="3">
        <v>131.6</v>
      </c>
      <c r="F205" s="3">
        <v>133.9</v>
      </c>
    </row>
    <row r="206" spans="1:6" ht="17" x14ac:dyDescent="0.2">
      <c r="A206" s="2" t="s">
        <v>202</v>
      </c>
      <c r="B206" s="2">
        <f t="shared" si="3"/>
        <v>2023</v>
      </c>
      <c r="C206" s="3">
        <v>138.69999999999999</v>
      </c>
      <c r="D206" s="3">
        <v>136.9</v>
      </c>
      <c r="E206" s="3">
        <v>132.5</v>
      </c>
      <c r="F206" s="3">
        <v>134.4</v>
      </c>
    </row>
    <row r="207" spans="1:6" ht="17" x14ac:dyDescent="0.2">
      <c r="A207" s="2" t="s">
        <v>203</v>
      </c>
      <c r="B207" s="2">
        <f t="shared" si="3"/>
        <v>2023</v>
      </c>
      <c r="C207" s="3">
        <v>139.69999999999999</v>
      </c>
      <c r="D207" s="3">
        <v>137.6</v>
      </c>
      <c r="E207" s="3">
        <v>133.19999999999999</v>
      </c>
      <c r="F207" s="3">
        <v>134.9</v>
      </c>
    </row>
    <row r="208" spans="1:6" ht="17" x14ac:dyDescent="0.2">
      <c r="A208" s="2" t="s">
        <v>204</v>
      </c>
      <c r="B208" s="2">
        <f t="shared" si="3"/>
        <v>2024</v>
      </c>
      <c r="C208" s="3">
        <v>140.30000000000001</v>
      </c>
      <c r="D208" s="3">
        <v>138</v>
      </c>
      <c r="E208" s="3">
        <v>133.80000000000001</v>
      </c>
      <c r="F208" s="3">
        <v>135.5</v>
      </c>
    </row>
    <row r="209" spans="1:6" ht="17" x14ac:dyDescent="0.2">
      <c r="A209" s="2" t="s">
        <v>205</v>
      </c>
      <c r="B209" s="2">
        <f t="shared" si="3"/>
        <v>2024</v>
      </c>
      <c r="C209" s="3">
        <v>141</v>
      </c>
      <c r="D209" s="3">
        <v>138.30000000000001</v>
      </c>
      <c r="E209" s="3">
        <v>134.30000000000001</v>
      </c>
      <c r="F209" s="3">
        <v>135.69999999999999</v>
      </c>
    </row>
    <row r="210" spans="1:6" ht="17" x14ac:dyDescent="0.2">
      <c r="A210" s="2" t="s">
        <v>206</v>
      </c>
      <c r="B210" s="2">
        <f t="shared" si="3"/>
        <v>2024</v>
      </c>
      <c r="C210" s="3">
        <v>141.1</v>
      </c>
      <c r="D210" s="3">
        <v>138.4</v>
      </c>
      <c r="E210" s="3">
        <v>134.6</v>
      </c>
      <c r="F210" s="3">
        <v>135.6</v>
      </c>
    </row>
    <row r="211" spans="1:6" ht="17" x14ac:dyDescent="0.2">
      <c r="A211" s="2" t="s">
        <v>207</v>
      </c>
      <c r="B211" s="2">
        <f t="shared" si="3"/>
        <v>2024</v>
      </c>
      <c r="C211" s="3">
        <v>140.9</v>
      </c>
      <c r="D211" s="3">
        <v>137.9</v>
      </c>
      <c r="E211" s="3">
        <v>134.5</v>
      </c>
      <c r="F211" s="3">
        <v>136.19999999999999</v>
      </c>
    </row>
    <row r="212" spans="1:6" ht="17" x14ac:dyDescent="0.2">
      <c r="A212" s="2" t="s">
        <v>208</v>
      </c>
      <c r="B212" s="2">
        <f t="shared" si="3"/>
        <v>2024</v>
      </c>
      <c r="C212" s="3">
        <v>141.30000000000001</v>
      </c>
      <c r="D212" s="3">
        <v>138.19999999999999</v>
      </c>
      <c r="E212" s="3">
        <v>135.1</v>
      </c>
      <c r="F212" s="3">
        <v>136.5</v>
      </c>
    </row>
    <row r="213" spans="1:6" ht="17" x14ac:dyDescent="0.2">
      <c r="A213" s="2" t="s">
        <v>209</v>
      </c>
      <c r="B213" s="2">
        <f t="shared" si="3"/>
        <v>2024</v>
      </c>
      <c r="C213" s="3">
        <v>141.4</v>
      </c>
      <c r="D213" s="3">
        <v>138.1</v>
      </c>
      <c r="E213" s="3">
        <v>135.19999999999999</v>
      </c>
      <c r="F213" s="3">
        <v>136.6</v>
      </c>
    </row>
    <row r="214" spans="1:6" x14ac:dyDescent="0.2">
      <c r="A214" s="4">
        <v>45566</v>
      </c>
      <c r="B214" s="2" t="e">
        <f>IF(MONTH(DATEVALUE(#REF!))&gt;=4, YEAR(DATEVALUE(#REF!)), YEAR(DATEVALUE(#REF!))-1)</f>
        <v>#REF!</v>
      </c>
      <c r="C214" s="3">
        <v>142</v>
      </c>
      <c r="D214" s="3">
        <v>138.9</v>
      </c>
      <c r="E214" s="3">
        <v>136.1</v>
      </c>
      <c r="F214" s="3">
        <v>137.4</v>
      </c>
    </row>
    <row r="215" spans="1:6" x14ac:dyDescent="0.2">
      <c r="A215" s="4"/>
      <c r="B215" s="2" t="e">
        <f>IF(MONTH(DATEVALUE(#REF!))&gt;=4, YEAR(DATEVALUE(#REF!)), YEAR(DATEVALUE(#REF!))-1)</f>
        <v>#REF!</v>
      </c>
      <c r="C215" s="3">
        <v>142.19999999999999</v>
      </c>
      <c r="D215" s="3">
        <v>139</v>
      </c>
      <c r="E215" s="3">
        <v>136.5</v>
      </c>
      <c r="F215" s="3">
        <v>137.6</v>
      </c>
    </row>
    <row r="216" spans="1:6" x14ac:dyDescent="0.2">
      <c r="A216" s="4"/>
      <c r="B216" s="2" t="e">
        <f>IF(MONTH(DATEVALUE(#REF!))&gt;=4, YEAR(DATEVALUE(#REF!)), YEAR(DATEVALUE(#REF!))-1)</f>
        <v>#REF!</v>
      </c>
      <c r="C216" s="3">
        <v>142.6</v>
      </c>
      <c r="D216" s="3">
        <v>139.30000000000001</v>
      </c>
      <c r="E216" s="3">
        <v>137</v>
      </c>
      <c r="F216" s="3">
        <v>137.80000000000001</v>
      </c>
    </row>
    <row r="217" spans="1:6" x14ac:dyDescent="0.2">
      <c r="A217" s="4"/>
      <c r="B217" s="2">
        <v>2025</v>
      </c>
      <c r="C217" s="3">
        <v>142.6</v>
      </c>
      <c r="D217" s="3">
        <v>139.4</v>
      </c>
      <c r="E217" s="3">
        <v>137.1</v>
      </c>
      <c r="F217" s="3">
        <v>138.4</v>
      </c>
    </row>
    <row r="218" spans="1:6" x14ac:dyDescent="0.2">
      <c r="A218" s="4"/>
      <c r="B218" s="2">
        <v>2025</v>
      </c>
      <c r="C218" s="3">
        <v>143.19999999999999</v>
      </c>
      <c r="D218" s="3">
        <v>139.9</v>
      </c>
      <c r="E218" s="3">
        <v>137.69999999999999</v>
      </c>
      <c r="F218" s="3">
        <v>138.80000000000001</v>
      </c>
    </row>
    <row r="219" spans="1:6" x14ac:dyDescent="0.2">
      <c r="A219" s="4"/>
      <c r="B219" s="2">
        <v>2025</v>
      </c>
      <c r="C219" s="3">
        <v>143.69999999999999</v>
      </c>
      <c r="D219" s="3">
        <v>140.19999999999999</v>
      </c>
      <c r="E219" s="3">
        <v>138.1</v>
      </c>
      <c r="F219" s="3">
        <v>139</v>
      </c>
    </row>
    <row r="220" spans="1:6" x14ac:dyDescent="0.2">
      <c r="A220" s="4"/>
      <c r="B220" s="2"/>
      <c r="C220" s="3"/>
      <c r="D220" s="3"/>
      <c r="E220" s="3"/>
      <c r="F220" s="3"/>
    </row>
    <row r="221" spans="1:6" x14ac:dyDescent="0.2">
      <c r="A221" s="4"/>
      <c r="B221" s="2"/>
      <c r="C221" s="3"/>
      <c r="D221" s="3"/>
      <c r="E221" s="3"/>
      <c r="F221" s="3"/>
    </row>
    <row r="222" spans="1:6" x14ac:dyDescent="0.2">
      <c r="A222" s="4"/>
      <c r="B222" s="2"/>
      <c r="C222" s="3"/>
      <c r="D222" s="3"/>
      <c r="E222" s="3"/>
      <c r="F222" s="3"/>
    </row>
    <row r="223" spans="1:6" x14ac:dyDescent="0.2">
      <c r="B223" s="2"/>
      <c r="C223" s="3"/>
      <c r="D223" s="3"/>
      <c r="E223" s="3"/>
      <c r="F223" s="3"/>
    </row>
    <row r="224" spans="1:6" x14ac:dyDescent="0.2">
      <c r="B224" s="2"/>
      <c r="C224" s="3"/>
      <c r="D224" s="3"/>
      <c r="E224" s="3"/>
      <c r="F224" s="3"/>
    </row>
    <row r="225" spans="2:6" x14ac:dyDescent="0.2">
      <c r="B225" s="2"/>
      <c r="C225" s="3"/>
      <c r="D225" s="3"/>
      <c r="E225" s="3"/>
      <c r="F225" s="3"/>
    </row>
    <row r="226" spans="2:6" x14ac:dyDescent="0.2">
      <c r="B226" s="2"/>
      <c r="C226" s="3"/>
      <c r="D226" s="3"/>
      <c r="E226" s="3"/>
      <c r="F226" s="3"/>
    </row>
    <row r="227" spans="2:6" x14ac:dyDescent="0.2">
      <c r="B227" s="2"/>
      <c r="C227" s="3"/>
      <c r="D227" s="3"/>
      <c r="E227" s="3"/>
      <c r="F227" s="3"/>
    </row>
    <row r="228" spans="2:6" x14ac:dyDescent="0.2">
      <c r="B228" s="2"/>
      <c r="C228" s="3"/>
      <c r="D228" s="3"/>
      <c r="E228" s="3"/>
      <c r="F22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B4957-4627-DB47-AE5A-8F206AE326B2}">
  <dimension ref="A1:E19"/>
  <sheetViews>
    <sheetView zoomScale="159" workbookViewId="0">
      <selection activeCell="C22" sqref="C22"/>
    </sheetView>
  </sheetViews>
  <sheetFormatPr baseColWidth="10" defaultRowHeight="16" x14ac:dyDescent="0.2"/>
  <cols>
    <col min="1" max="1" width="15.1640625" customWidth="1"/>
    <col min="3" max="3" width="15.5" customWidth="1"/>
    <col min="4" max="4" width="14.83203125" customWidth="1"/>
    <col min="5" max="5" width="14" customWidth="1"/>
  </cols>
  <sheetData>
    <row r="1" spans="1:5" ht="21" customHeight="1" x14ac:dyDescent="0.2">
      <c r="A1" s="1" t="s">
        <v>215</v>
      </c>
      <c r="B1" s="1" t="s">
        <v>211</v>
      </c>
      <c r="C1" s="1" t="s">
        <v>212</v>
      </c>
      <c r="D1" s="1" t="s">
        <v>213</v>
      </c>
      <c r="E1" s="1" t="s">
        <v>214</v>
      </c>
    </row>
    <row r="2" spans="1:5" x14ac:dyDescent="0.2">
      <c r="A2">
        <v>2007</v>
      </c>
      <c r="B2">
        <f>AVERAGEIF('HCI Tenure'!$B$2:$B$213,$A2,'HCI Tenure'!C$2:C$213)</f>
        <v>88.008333333333326</v>
      </c>
      <c r="C2">
        <f>AVERAGEIF('HCI Tenure'!$B$2:$B$213,$A2,'HCI Tenure'!D$2:D$213)</f>
        <v>81.025000000000006</v>
      </c>
      <c r="D2">
        <f>AVERAGEIF('HCI Tenure'!$B$2:$B$213,$A2,'HCI Tenure'!E$2:E$213)</f>
        <v>83.791666666666657</v>
      </c>
      <c r="E2">
        <f>AVERAGEIF('HCI Tenure'!$B$2:$B$213,$A2,'HCI Tenure'!F$2:F$213)</f>
        <v>78.50833333333334</v>
      </c>
    </row>
    <row r="3" spans="1:5" x14ac:dyDescent="0.2">
      <c r="A3">
        <v>2008</v>
      </c>
      <c r="B3">
        <f>AVERAGEIF('HCI Tenure'!$B$2:$B$213,$A3,'HCI Tenure'!C$2:C$213)</f>
        <v>89.290909090909096</v>
      </c>
      <c r="C3">
        <f>AVERAGEIF('HCI Tenure'!$B$2:$B$213,$A3,'HCI Tenure'!D$2:D$213)</f>
        <v>84.909090909090921</v>
      </c>
      <c r="D3">
        <f>AVERAGEIF('HCI Tenure'!$B$2:$B$213,$A3,'HCI Tenure'!E$2:E$213)</f>
        <v>86.690909090909088</v>
      </c>
      <c r="E3">
        <f>AVERAGEIF('HCI Tenure'!$B$2:$B$213,$A3,'HCI Tenure'!F$2:F$213)</f>
        <v>82.345454545454544</v>
      </c>
    </row>
    <row r="4" spans="1:5" x14ac:dyDescent="0.2">
      <c r="A4">
        <v>2009</v>
      </c>
      <c r="B4">
        <f>AVERAGEIF('HCI Tenure'!$B$2:$B$213,$A4,'HCI Tenure'!C$2:C$213)</f>
        <v>87.808333333333337</v>
      </c>
      <c r="C4">
        <f>AVERAGEIF('HCI Tenure'!$B$2:$B$213,$A4,'HCI Tenure'!D$2:D$213)</f>
        <v>87.02500000000002</v>
      </c>
      <c r="D4">
        <f>AVERAGEIF('HCI Tenure'!$B$2:$B$213,$A4,'HCI Tenure'!E$2:E$213)</f>
        <v>87.933333333333323</v>
      </c>
      <c r="E4">
        <f>AVERAGEIF('HCI Tenure'!$B$2:$B$213,$A4,'HCI Tenure'!F$2:F$213)</f>
        <v>84.63333333333334</v>
      </c>
    </row>
    <row r="5" spans="1:5" x14ac:dyDescent="0.2">
      <c r="A5">
        <v>2010</v>
      </c>
      <c r="B5">
        <f>AVERAGEIF('HCI Tenure'!$B$2:$B$213,$A5,'HCI Tenure'!C$2:C$213)</f>
        <v>91.49166666666666</v>
      </c>
      <c r="C5">
        <f>AVERAGEIF('HCI Tenure'!$B$2:$B$213,$A5,'HCI Tenure'!D$2:D$213)</f>
        <v>90.591666666666683</v>
      </c>
      <c r="D5">
        <f>AVERAGEIF('HCI Tenure'!$B$2:$B$213,$A5,'HCI Tenure'!E$2:E$213)</f>
        <v>90.675000000000011</v>
      </c>
      <c r="E5">
        <f>AVERAGEIF('HCI Tenure'!$B$2:$B$213,$A5,'HCI Tenure'!F$2:F$213)</f>
        <v>87.508333333333326</v>
      </c>
    </row>
    <row r="6" spans="1:5" x14ac:dyDescent="0.2">
      <c r="A6">
        <v>2011</v>
      </c>
      <c r="B6">
        <f>AVERAGEIF('HCI Tenure'!$B$2:$B$213,$A6,'HCI Tenure'!C$2:C$213)</f>
        <v>95.475000000000009</v>
      </c>
      <c r="C6">
        <f>AVERAGEIF('HCI Tenure'!$B$2:$B$213,$A6,'HCI Tenure'!D$2:D$213)</f>
        <v>94.916666666666671</v>
      </c>
      <c r="D6">
        <f>AVERAGEIF('HCI Tenure'!$B$2:$B$213,$A6,'HCI Tenure'!E$2:E$213)</f>
        <v>94.399999999999991</v>
      </c>
      <c r="E6">
        <f>AVERAGEIF('HCI Tenure'!$B$2:$B$213,$A6,'HCI Tenure'!F$2:F$213)</f>
        <v>91.924999999999997</v>
      </c>
    </row>
    <row r="7" spans="1:5" x14ac:dyDescent="0.2">
      <c r="A7">
        <v>2012</v>
      </c>
      <c r="B7">
        <f>AVERAGEIF('HCI Tenure'!$B$2:$B$213,$A7,'HCI Tenure'!C$2:C$213)</f>
        <v>97.708333333333329</v>
      </c>
      <c r="C7">
        <f>AVERAGEIF('HCI Tenure'!$B$2:$B$213,$A7,'HCI Tenure'!D$2:D$213)</f>
        <v>97.174999999999997</v>
      </c>
      <c r="D7">
        <f>AVERAGEIF('HCI Tenure'!$B$2:$B$213,$A7,'HCI Tenure'!E$2:E$213)</f>
        <v>96.625</v>
      </c>
      <c r="E7">
        <f>AVERAGEIF('HCI Tenure'!$B$2:$B$213,$A7,'HCI Tenure'!F$2:F$213)</f>
        <v>95.100000000000009</v>
      </c>
    </row>
    <row r="8" spans="1:5" x14ac:dyDescent="0.2">
      <c r="A8">
        <v>2013</v>
      </c>
      <c r="B8">
        <f>AVERAGEIF('HCI Tenure'!$B$2:$B$213,$A8,'HCI Tenure'!C$2:C$213)</f>
        <v>99.716666666666654</v>
      </c>
      <c r="C8">
        <f>AVERAGEIF('HCI Tenure'!$B$2:$B$213,$A8,'HCI Tenure'!D$2:D$213)</f>
        <v>99.383333333333326</v>
      </c>
      <c r="D8">
        <f>AVERAGEIF('HCI Tenure'!$B$2:$B$213,$A8,'HCI Tenure'!E$2:E$213)</f>
        <v>98.733333333333334</v>
      </c>
      <c r="E8">
        <f>AVERAGEIF('HCI Tenure'!$B$2:$B$213,$A8,'HCI Tenure'!F$2:F$213)</f>
        <v>97.99166666666666</v>
      </c>
    </row>
    <row r="9" spans="1:5" x14ac:dyDescent="0.2">
      <c r="A9">
        <v>2014</v>
      </c>
      <c r="B9">
        <f>AVERAGEIF('HCI Tenure'!$B$2:$B$213,$A9,'HCI Tenure'!C$2:C$213)</f>
        <v>100.32499999999999</v>
      </c>
      <c r="C9">
        <f>AVERAGEIF('HCI Tenure'!$B$2:$B$213,$A9,'HCI Tenure'!D$2:D$213)</f>
        <v>100.23333333333335</v>
      </c>
      <c r="D9">
        <f>AVERAGEIF('HCI Tenure'!$B$2:$B$213,$A9,'HCI Tenure'!E$2:E$213)</f>
        <v>99.741666666666632</v>
      </c>
      <c r="E9">
        <f>AVERAGEIF('HCI Tenure'!$B$2:$B$213,$A9,'HCI Tenure'!F$2:F$213)</f>
        <v>99.716666666666654</v>
      </c>
    </row>
    <row r="10" spans="1:5" x14ac:dyDescent="0.2">
      <c r="A10">
        <v>2015</v>
      </c>
      <c r="B10">
        <f>AVERAGEIF('HCI Tenure'!$B$2:$B$213,$A10,'HCI Tenure'!C$2:C$213)</f>
        <v>100.05833333333334</v>
      </c>
      <c r="C10">
        <f>AVERAGEIF('HCI Tenure'!$B$2:$B$213,$A10,'HCI Tenure'!D$2:D$213)</f>
        <v>100.05833333333334</v>
      </c>
      <c r="D10">
        <f>AVERAGEIF('HCI Tenure'!$B$2:$B$213,$A10,'HCI Tenure'!E$2:E$213)</f>
        <v>100.21666666666665</v>
      </c>
      <c r="E10">
        <f>AVERAGEIF('HCI Tenure'!$B$2:$B$213,$A10,'HCI Tenure'!F$2:F$213)</f>
        <v>100.14166666666665</v>
      </c>
    </row>
    <row r="11" spans="1:5" x14ac:dyDescent="0.2">
      <c r="A11">
        <v>2016</v>
      </c>
      <c r="B11">
        <f>AVERAGEIF('HCI Tenure'!$B$2:$B$213,$A11,'HCI Tenure'!C$2:C$213)</f>
        <v>101.05</v>
      </c>
      <c r="C11">
        <f>AVERAGEIF('HCI Tenure'!$B$2:$B$213,$A11,'HCI Tenure'!D$2:D$213)</f>
        <v>101.26666666666667</v>
      </c>
      <c r="D11">
        <f>AVERAGEIF('HCI Tenure'!$B$2:$B$213,$A11,'HCI Tenure'!E$2:E$213)</f>
        <v>101.74166666666667</v>
      </c>
      <c r="E11">
        <f>AVERAGEIF('HCI Tenure'!$B$2:$B$213,$A11,'HCI Tenure'!F$2:F$213)</f>
        <v>100.78333333333335</v>
      </c>
    </row>
    <row r="12" spans="1:5" x14ac:dyDescent="0.2">
      <c r="A12">
        <v>2017</v>
      </c>
      <c r="B12">
        <f>AVERAGEIF('HCI Tenure'!$B$2:$B$213,$A12,'HCI Tenure'!C$2:C$213)</f>
        <v>103.80833333333332</v>
      </c>
      <c r="C12">
        <f>AVERAGEIF('HCI Tenure'!$B$2:$B$213,$A12,'HCI Tenure'!D$2:D$213)</f>
        <v>104.40833333333335</v>
      </c>
      <c r="D12">
        <f>AVERAGEIF('HCI Tenure'!$B$2:$B$213,$A12,'HCI Tenure'!E$2:E$213)</f>
        <v>104.46666666666668</v>
      </c>
      <c r="E12">
        <f>AVERAGEIF('HCI Tenure'!$B$2:$B$213,$A12,'HCI Tenure'!F$2:F$213)</f>
        <v>103.19166666666666</v>
      </c>
    </row>
    <row r="13" spans="1:5" x14ac:dyDescent="0.2">
      <c r="A13">
        <v>2018</v>
      </c>
      <c r="B13">
        <f>AVERAGEIF('HCI Tenure'!$B$2:$B$213,$A13,'HCI Tenure'!C$2:C$213)</f>
        <v>106.24166666666666</v>
      </c>
      <c r="C13">
        <f>AVERAGEIF('HCI Tenure'!$B$2:$B$213,$A13,'HCI Tenure'!D$2:D$213)</f>
        <v>107.03333333333335</v>
      </c>
      <c r="D13">
        <f>AVERAGEIF('HCI Tenure'!$B$2:$B$213,$A13,'HCI Tenure'!E$2:E$213)</f>
        <v>106.52500000000002</v>
      </c>
      <c r="E13">
        <f>AVERAGEIF('HCI Tenure'!$B$2:$B$213,$A13,'HCI Tenure'!F$2:F$213)</f>
        <v>105.14166666666667</v>
      </c>
    </row>
    <row r="14" spans="1:5" x14ac:dyDescent="0.2">
      <c r="A14">
        <v>2019</v>
      </c>
      <c r="B14">
        <f>AVERAGEIF('HCI Tenure'!$B$2:$B$213,$A14,'HCI Tenure'!C$2:C$213)</f>
        <v>108.32499999999999</v>
      </c>
      <c r="C14">
        <f>AVERAGEIF('HCI Tenure'!$B$2:$B$213,$A14,'HCI Tenure'!D$2:D$213)</f>
        <v>109.325</v>
      </c>
      <c r="D14">
        <f>AVERAGEIF('HCI Tenure'!$B$2:$B$213,$A14,'HCI Tenure'!E$2:E$213)</f>
        <v>108.52500000000002</v>
      </c>
      <c r="E14">
        <f>AVERAGEIF('HCI Tenure'!$B$2:$B$213,$A14,'HCI Tenure'!F$2:F$213)</f>
        <v>106.86666666666666</v>
      </c>
    </row>
    <row r="15" spans="1:5" x14ac:dyDescent="0.2">
      <c r="A15">
        <v>2020</v>
      </c>
      <c r="B15">
        <f>AVERAGEIF('HCI Tenure'!$B$2:$B$213,$A15,'HCI Tenure'!C$2:C$213)</f>
        <v>107.93333333333334</v>
      </c>
      <c r="C15">
        <f>AVERAGEIF('HCI Tenure'!$B$2:$B$213,$A15,'HCI Tenure'!D$2:D$213)</f>
        <v>109.42500000000001</v>
      </c>
      <c r="D15">
        <f>AVERAGEIF('HCI Tenure'!$B$2:$B$213,$A15,'HCI Tenure'!E$2:E$213)</f>
        <v>109.25833333333333</v>
      </c>
      <c r="E15">
        <f>AVERAGEIF('HCI Tenure'!$B$2:$B$213,$A15,'HCI Tenure'!F$2:F$213)</f>
        <v>107.50833333333333</v>
      </c>
    </row>
    <row r="16" spans="1:5" x14ac:dyDescent="0.2">
      <c r="A16">
        <v>2021</v>
      </c>
      <c r="B16">
        <f>AVERAGEIF('HCI Tenure'!$B$2:$B$213,$A16,'HCI Tenure'!C$2:C$213)</f>
        <v>112.68333333333334</v>
      </c>
      <c r="C16">
        <f>AVERAGEIF('HCI Tenure'!$B$2:$B$213,$A16,'HCI Tenure'!D$2:D$213)</f>
        <v>114.25833333333333</v>
      </c>
      <c r="D16">
        <f>AVERAGEIF('HCI Tenure'!$B$2:$B$213,$A16,'HCI Tenure'!E$2:E$213)</f>
        <v>112.85833333333333</v>
      </c>
      <c r="E16">
        <f>AVERAGEIF('HCI Tenure'!$B$2:$B$213,$A16,'HCI Tenure'!F$2:F$213)</f>
        <v>111.39166666666667</v>
      </c>
    </row>
    <row r="17" spans="1:5" x14ac:dyDescent="0.2">
      <c r="A17">
        <v>2022</v>
      </c>
      <c r="B17">
        <f>AVERAGEIF('HCI Tenure'!$B$2:$B$213,$A17,'HCI Tenure'!C$2:C$213)</f>
        <v>126.13333333333334</v>
      </c>
      <c r="C17">
        <f>AVERAGEIF('HCI Tenure'!$B$2:$B$213,$A17,'HCI Tenure'!D$2:D$213)</f>
        <v>128.35833333333332</v>
      </c>
      <c r="D17">
        <f>AVERAGEIF('HCI Tenure'!$B$2:$B$213,$A17,'HCI Tenure'!E$2:E$213)</f>
        <v>123.325</v>
      </c>
      <c r="E17">
        <f>AVERAGEIF('HCI Tenure'!$B$2:$B$213,$A17,'HCI Tenure'!F$2:F$213)</f>
        <v>124.71666666666665</v>
      </c>
    </row>
    <row r="18" spans="1:5" x14ac:dyDescent="0.2">
      <c r="A18">
        <v>2023</v>
      </c>
      <c r="B18">
        <f>AVERAGEIF('HCI Tenure'!$B$2:$B$213,$A18,'HCI Tenure'!C$2:C$213)</f>
        <v>137.13636363636365</v>
      </c>
      <c r="C18">
        <f>AVERAGEIF('HCI Tenure'!$B$2:$B$213,$A18,'HCI Tenure'!D$2:D$213)</f>
        <v>136.41818181818184</v>
      </c>
      <c r="D18">
        <f>AVERAGEIF('HCI Tenure'!$B$2:$B$213,$A18,'HCI Tenure'!E$2:E$213)</f>
        <v>131.20909090909092</v>
      </c>
      <c r="E18">
        <f>AVERAGEIF('HCI Tenure'!$B$2:$B$213,$A18,'HCI Tenure'!F$2:F$213)</f>
        <v>133.61818181818185</v>
      </c>
    </row>
    <row r="19" spans="1:5" x14ac:dyDescent="0.2">
      <c r="A19">
        <v>2024</v>
      </c>
      <c r="B19">
        <f>AVERAGEIF('HCI Tenure'!$B$2:$B$213,$A19,'HCI Tenure'!C$2:C$213)</f>
        <v>140.99999999999997</v>
      </c>
      <c r="C19">
        <f>AVERAGEIF('HCI Tenure'!$B$2:$B$213,$A19,'HCI Tenure'!D$2:D$213)</f>
        <v>138.15</v>
      </c>
      <c r="D19">
        <f>AVERAGEIF('HCI Tenure'!$B$2:$B$213,$A19,'HCI Tenure'!E$2:E$213)</f>
        <v>134.58333333333334</v>
      </c>
      <c r="E19">
        <f>AVERAGEIF('HCI Tenure'!$B$2:$B$213,$A19,'HCI Tenure'!F$2:F$213)</f>
        <v>136.01666666666668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DFD1-FC7E-0641-9992-8FD42EA01D89}">
  <dimension ref="A1:E18"/>
  <sheetViews>
    <sheetView zoomScale="181" workbookViewId="0">
      <selection activeCell="E19" sqref="E19"/>
    </sheetView>
  </sheetViews>
  <sheetFormatPr baseColWidth="10" defaultRowHeight="16" x14ac:dyDescent="0.2"/>
  <cols>
    <col min="1" max="1" width="15.33203125" customWidth="1"/>
    <col min="2" max="2" width="11.83203125" customWidth="1"/>
    <col min="3" max="3" width="15.5" customWidth="1"/>
    <col min="4" max="4" width="14.33203125" customWidth="1"/>
    <col min="5" max="5" width="13.5" customWidth="1"/>
  </cols>
  <sheetData>
    <row r="1" spans="1:5" ht="21" customHeight="1" x14ac:dyDescent="0.2">
      <c r="A1" s="1" t="s">
        <v>215</v>
      </c>
      <c r="B1" s="1" t="s">
        <v>211</v>
      </c>
      <c r="C1" s="1" t="s">
        <v>212</v>
      </c>
      <c r="D1" s="1" t="s">
        <v>213</v>
      </c>
      <c r="E1" s="1" t="s">
        <v>214</v>
      </c>
    </row>
    <row r="2" spans="1:5" x14ac:dyDescent="0.2">
      <c r="A2">
        <v>2008</v>
      </c>
      <c r="B2">
        <f>('HCI Financial Year Averages'!B3-'HCI Financial Year Averages'!B2)/'HCI Financial Year Averages'!B2*100</f>
        <v>1.4573344466347171</v>
      </c>
      <c r="C2">
        <f>('HCI Financial Year Averages'!C3-'HCI Financial Year Averages'!C2)/'HCI Financial Year Averages'!C2*100</f>
        <v>4.7936944265238068</v>
      </c>
      <c r="D2">
        <f>('HCI Financial Year Averages'!D3-'HCI Financial Year Averages'!D2)/'HCI Financial Year Averages'!D2*100</f>
        <v>3.4600605759233392</v>
      </c>
      <c r="E2">
        <f>('HCI Financial Year Averages'!E3-'HCI Financial Year Averages'!E2)/'HCI Financial Year Averages'!E2*100</f>
        <v>4.8875336530574724</v>
      </c>
    </row>
    <row r="3" spans="1:5" x14ac:dyDescent="0.2">
      <c r="A3">
        <v>2009</v>
      </c>
      <c r="B3">
        <f>('HCI Financial Year Averages'!B4-'HCI Financial Year Averages'!B3)/'HCI Financial Year Averages'!B3*100</f>
        <v>-1.6603882440779218</v>
      </c>
      <c r="C3">
        <f>('HCI Financial Year Averages'!C4-'HCI Financial Year Averages'!C3)/'HCI Financial Year Averages'!C3*100</f>
        <v>2.4919700214132856</v>
      </c>
      <c r="D3">
        <f>('HCI Financial Year Averages'!D4-'HCI Financial Year Averages'!D3)/'HCI Financial Year Averages'!D3*100</f>
        <v>1.4331655480984256</v>
      </c>
      <c r="E3">
        <f>('HCI Financial Year Averages'!E4-'HCI Financial Year Averages'!E3)/'HCI Financial Year Averages'!E3*100</f>
        <v>2.7783911091484605</v>
      </c>
    </row>
    <row r="4" spans="1:5" x14ac:dyDescent="0.2">
      <c r="A4">
        <v>2010</v>
      </c>
      <c r="B4">
        <f>('HCI Financial Year Averages'!B5-'HCI Financial Year Averages'!B4)/'HCI Financial Year Averages'!B4*100</f>
        <v>4.1947423365284111</v>
      </c>
      <c r="C4">
        <f>('HCI Financial Year Averages'!C5-'HCI Financial Year Averages'!C4)/'HCI Financial Year Averages'!C4*100</f>
        <v>4.098439145839313</v>
      </c>
      <c r="D4">
        <f>('HCI Financial Year Averages'!D5-'HCI Financial Year Averages'!D4)/'HCI Financial Year Averages'!D4*100</f>
        <v>3.1178923426838767</v>
      </c>
      <c r="E4">
        <f>('HCI Financial Year Averages'!E5-'HCI Financial Year Averages'!E4)/'HCI Financial Year Averages'!E4*100</f>
        <v>3.397006695549412</v>
      </c>
    </row>
    <row r="5" spans="1:5" x14ac:dyDescent="0.2">
      <c r="A5">
        <v>2011</v>
      </c>
      <c r="B5">
        <f>('HCI Financial Year Averages'!B6-'HCI Financial Year Averages'!B5)/'HCI Financial Year Averages'!B5*100</f>
        <v>4.3537662810820823</v>
      </c>
      <c r="C5">
        <f>('HCI Financial Year Averages'!C6-'HCI Financial Year Averages'!C5)/'HCI Financial Year Averages'!C5*100</f>
        <v>4.7741698095851213</v>
      </c>
      <c r="D5">
        <f>('HCI Financial Year Averages'!D6-'HCI Financial Year Averages'!D5)/'HCI Financial Year Averages'!D5*100</f>
        <v>4.1080783016266667</v>
      </c>
      <c r="E5">
        <f>('HCI Financial Year Averages'!E6-'HCI Financial Year Averages'!E5)/'HCI Financial Year Averages'!E5*100</f>
        <v>5.0471383677745036</v>
      </c>
    </row>
    <row r="6" spans="1:5" x14ac:dyDescent="0.2">
      <c r="A6">
        <v>2012</v>
      </c>
      <c r="B6">
        <f>('HCI Financial Year Averages'!B7-'HCI Financial Year Averages'!B6)/'HCI Financial Year Averages'!B6*100</f>
        <v>2.3391812865496937</v>
      </c>
      <c r="C6">
        <f>('HCI Financial Year Averages'!C7-'HCI Financial Year Averages'!C6)/'HCI Financial Year Averages'!C6*100</f>
        <v>2.379280070237042</v>
      </c>
      <c r="D6">
        <f>('HCI Financial Year Averages'!D7-'HCI Financial Year Averages'!D6)/'HCI Financial Year Averages'!D6*100</f>
        <v>2.3569915254237381</v>
      </c>
      <c r="E6">
        <f>('HCI Financial Year Averages'!E7-'HCI Financial Year Averages'!E6)/'HCI Financial Year Averages'!E6*100</f>
        <v>3.4539026380201379</v>
      </c>
    </row>
    <row r="7" spans="1:5" x14ac:dyDescent="0.2">
      <c r="A7">
        <v>2013</v>
      </c>
      <c r="B7">
        <f>('HCI Financial Year Averages'!B8-'HCI Financial Year Averages'!B7)/'HCI Financial Year Averages'!B7*100</f>
        <v>2.0554371002132119</v>
      </c>
      <c r="C7">
        <f>('HCI Financial Year Averages'!C8-'HCI Financial Year Averages'!C7)/'HCI Financial Year Averages'!C7*100</f>
        <v>2.2725323728668161</v>
      </c>
      <c r="D7">
        <f>('HCI Financial Year Averages'!D8-'HCI Financial Year Averages'!D7)/'HCI Financial Year Averages'!D7*100</f>
        <v>2.181974989219492</v>
      </c>
      <c r="E7">
        <f>('HCI Financial Year Averages'!E8-'HCI Financial Year Averages'!E7)/'HCI Financial Year Averages'!E7*100</f>
        <v>3.0406589554854375</v>
      </c>
    </row>
    <row r="8" spans="1:5" x14ac:dyDescent="0.2">
      <c r="A8">
        <v>2014</v>
      </c>
      <c r="B8">
        <f>('HCI Financial Year Averages'!B9-'HCI Financial Year Averages'!B8)/'HCI Financial Year Averages'!B8*100</f>
        <v>0.61006184188534285</v>
      </c>
      <c r="C8">
        <f>('HCI Financial Year Averages'!C9-'HCI Financial Year Averages'!C8)/'HCI Financial Year Averages'!C8*100</f>
        <v>0.85527419084355816</v>
      </c>
      <c r="D8">
        <f>('HCI Financial Year Averages'!D9-'HCI Financial Year Averages'!D8)/'HCI Financial Year Averages'!D8*100</f>
        <v>1.0212694125590454</v>
      </c>
      <c r="E8">
        <f>('HCI Financial Year Averages'!E9-'HCI Financial Year Averages'!E8)/'HCI Financial Year Averages'!E8*100</f>
        <v>1.7603537715792101</v>
      </c>
    </row>
    <row r="9" spans="1:5" x14ac:dyDescent="0.2">
      <c r="A9">
        <v>2015</v>
      </c>
      <c r="B9">
        <f>('HCI Financial Year Averages'!B10-'HCI Financial Year Averages'!B9)/'HCI Financial Year Averages'!B9*100</f>
        <v>-0.26580280754213959</v>
      </c>
      <c r="C9">
        <f>('HCI Financial Year Averages'!C10-'HCI Financial Year Averages'!C9)/'HCI Financial Year Averages'!C9*100</f>
        <v>-0.17459261722648287</v>
      </c>
      <c r="D9">
        <f>('HCI Financial Year Averages'!D10-'HCI Financial Year Averages'!D9)/'HCI Financial Year Averages'!D9*100</f>
        <v>0.47623026150892089</v>
      </c>
      <c r="E9">
        <f>('HCI Financial Year Averages'!E10-'HCI Financial Year Averages'!E9)/'HCI Financial Year Averages'!E9*100</f>
        <v>0.42620758816646886</v>
      </c>
    </row>
    <row r="10" spans="1:5" x14ac:dyDescent="0.2">
      <c r="A10">
        <v>2016</v>
      </c>
      <c r="B10">
        <f>('HCI Financial Year Averages'!B11-'HCI Financial Year Averages'!B10)/'HCI Financial Year Averages'!B10*100</f>
        <v>0.99108853168984101</v>
      </c>
      <c r="C10">
        <f>('HCI Financial Year Averages'!C11-'HCI Financial Year Averages'!C10)/'HCI Financial Year Averages'!C10*100</f>
        <v>1.2076288831514901</v>
      </c>
      <c r="D10">
        <f>('HCI Financial Year Averages'!D11-'HCI Financial Year Averages'!D10)/'HCI Financial Year Averages'!D10*100</f>
        <v>1.5217029768834394</v>
      </c>
      <c r="E10">
        <f>('HCI Financial Year Averages'!E11-'HCI Financial Year Averages'!E10)/'HCI Financial Year Averages'!E10*100</f>
        <v>0.64075892485648089</v>
      </c>
    </row>
    <row r="11" spans="1:5" x14ac:dyDescent="0.2">
      <c r="A11">
        <v>2017</v>
      </c>
      <c r="B11">
        <f>('HCI Financial Year Averages'!B12-'HCI Financial Year Averages'!B11)/'HCI Financial Year Averages'!B11*100</f>
        <v>2.729671779647032</v>
      </c>
      <c r="C11">
        <f>('HCI Financial Year Averages'!C12-'HCI Financial Year Averages'!C11)/'HCI Financial Year Averages'!C11*100</f>
        <v>3.1023699802501778</v>
      </c>
      <c r="D11">
        <f>('HCI Financial Year Averages'!D12-'HCI Financial Year Averages'!D11)/'HCI Financial Year Averages'!D11*100</f>
        <v>2.6783520353837416</v>
      </c>
      <c r="E11">
        <f>('HCI Financial Year Averages'!E12-'HCI Financial Year Averages'!E11)/'HCI Financial Year Averages'!E11*100</f>
        <v>2.3896146849677362</v>
      </c>
    </row>
    <row r="12" spans="1:5" x14ac:dyDescent="0.2">
      <c r="A12">
        <v>2018</v>
      </c>
      <c r="B12">
        <f>('HCI Financial Year Averages'!B13-'HCI Financial Year Averages'!B12)/'HCI Financial Year Averages'!B12*100</f>
        <v>2.3440635787107689</v>
      </c>
      <c r="C12">
        <f>('HCI Financial Year Averages'!C13-'HCI Financial Year Averages'!C12)/'HCI Financial Year Averages'!C12*100</f>
        <v>2.5141671322531725</v>
      </c>
      <c r="D12">
        <f>('HCI Financial Year Averages'!D13-'HCI Financial Year Averages'!D12)/'HCI Financial Year Averages'!D12*100</f>
        <v>1.9703254626675208</v>
      </c>
      <c r="E12">
        <f>('HCI Financial Year Averages'!E13-'HCI Financial Year Averages'!E12)/'HCI Financial Year Averages'!E12*100</f>
        <v>1.8896874747637917</v>
      </c>
    </row>
    <row r="13" spans="1:5" x14ac:dyDescent="0.2">
      <c r="A13">
        <v>2019</v>
      </c>
      <c r="B13">
        <f>('HCI Financial Year Averages'!B14-'HCI Financial Year Averages'!B13)/'HCI Financial Year Averages'!B13*100</f>
        <v>1.960938112793156</v>
      </c>
      <c r="C13">
        <f>('HCI Financial Year Averages'!C14-'HCI Financial Year Averages'!C13)/'HCI Financial Year Averages'!C13*100</f>
        <v>2.1410775459358362</v>
      </c>
      <c r="D13">
        <f>('HCI Financial Year Averages'!D14-'HCI Financial Year Averages'!D13)/'HCI Financial Year Averages'!D13*100</f>
        <v>1.877493546115935</v>
      </c>
      <c r="E13">
        <f>('HCI Financial Year Averages'!E14-'HCI Financial Year Averages'!E13)/'HCI Financial Year Averages'!E13*100</f>
        <v>1.6406435761274416</v>
      </c>
    </row>
    <row r="14" spans="1:5" x14ac:dyDescent="0.2">
      <c r="A14">
        <v>2020</v>
      </c>
      <c r="B14">
        <f>('HCI Financial Year Averages'!B15-'HCI Financial Year Averages'!B14)/'HCI Financial Year Averages'!B14*100</f>
        <v>-0.36156627432878058</v>
      </c>
      <c r="C14">
        <f>('HCI Financial Year Averages'!C15-'HCI Financial Year Averages'!C14)/'HCI Financial Year Averages'!C14*100</f>
        <v>9.1470386462390599E-2</v>
      </c>
      <c r="D14">
        <f>('HCI Financial Year Averages'!D15-'HCI Financial Year Averages'!D14)/'HCI Financial Year Averages'!D14*100</f>
        <v>0.67572755893416792</v>
      </c>
      <c r="E14">
        <f>('HCI Financial Year Averages'!E15-'HCI Financial Year Averages'!E14)/'HCI Financial Year Averages'!E14*100</f>
        <v>0.60043668122270655</v>
      </c>
    </row>
    <row r="15" spans="1:5" x14ac:dyDescent="0.2">
      <c r="A15">
        <v>2021</v>
      </c>
      <c r="B15">
        <f>('HCI Financial Year Averages'!B16-'HCI Financial Year Averages'!B15)/'HCI Financial Year Averages'!B15*100</f>
        <v>4.4008647313156271</v>
      </c>
      <c r="C15">
        <f>('HCI Financial Year Averages'!C16-'HCI Financial Year Averages'!C15)/'HCI Financial Year Averages'!C15*100</f>
        <v>4.4170284060619727</v>
      </c>
      <c r="D15">
        <f>('HCI Financial Year Averages'!D16-'HCI Financial Year Averages'!D15)/'HCI Financial Year Averages'!D15*100</f>
        <v>3.2949431774845626</v>
      </c>
      <c r="E15">
        <f>('HCI Financial Year Averages'!E16-'HCI Financial Year Averages'!E15)/'HCI Financial Year Averages'!E15*100</f>
        <v>3.6121230912332445</v>
      </c>
    </row>
    <row r="16" spans="1:5" x14ac:dyDescent="0.2">
      <c r="A16">
        <v>2022</v>
      </c>
      <c r="B16">
        <f>('HCI Financial Year Averages'!B17-'HCI Financial Year Averages'!B16)/'HCI Financial Year Averages'!B16*100</f>
        <v>11.936104126608491</v>
      </c>
      <c r="C16">
        <f>('HCI Financial Year Averages'!C17-'HCI Financial Year Averages'!C16)/'HCI Financial Year Averages'!C16*100</f>
        <v>12.340456567719345</v>
      </c>
      <c r="D16">
        <f>('HCI Financial Year Averages'!D17-'HCI Financial Year Averages'!D16)/'HCI Financial Year Averages'!D16*100</f>
        <v>9.2741637746437284</v>
      </c>
      <c r="E16">
        <f>('HCI Financial Year Averages'!E17-'HCI Financial Year Averages'!E16)/'HCI Financial Year Averages'!E16*100</f>
        <v>11.962295204608354</v>
      </c>
    </row>
    <row r="17" spans="1:5" x14ac:dyDescent="0.2">
      <c r="A17">
        <v>2023</v>
      </c>
      <c r="B17">
        <f>('HCI Financial Year Averages'!B18-'HCI Financial Year Averages'!B17)/'HCI Financial Year Averages'!B17*100</f>
        <v>8.7233326926773103</v>
      </c>
      <c r="C17">
        <f>('HCI Financial Year Averages'!C18-'HCI Financial Year Averages'!C17)/'HCI Financial Year Averages'!C17*100</f>
        <v>6.2791782002325647</v>
      </c>
      <c r="D17">
        <f>('HCI Financial Year Averages'!D18-'HCI Financial Year Averages'!D17)/'HCI Financial Year Averages'!D17*100</f>
        <v>6.3929380977830244</v>
      </c>
      <c r="E17">
        <f>('HCI Financial Year Averages'!E18-'HCI Financial Year Averages'!E17)/'HCI Financial Year Averages'!E17*100</f>
        <v>7.137390205678364</v>
      </c>
    </row>
    <row r="18" spans="1:5" x14ac:dyDescent="0.2">
      <c r="A18">
        <v>2024</v>
      </c>
      <c r="B18">
        <f>('HCI Financial Year Averages'!B19-'HCI Financial Year Averages'!B18)/'HCI Financial Year Averages'!B18*100</f>
        <v>2.8173682466025514</v>
      </c>
      <c r="C18">
        <f>('HCI Financial Year Averages'!C19-'HCI Financial Year Averages'!C18)/'HCI Financial Year Averages'!C18*100</f>
        <v>1.2694922031187434</v>
      </c>
      <c r="D18">
        <f>('HCI Financial Year Averages'!D19-'HCI Financial Year Averages'!D18)/'HCI Financial Year Averages'!D18*100</f>
        <v>2.5716529250098161</v>
      </c>
      <c r="E18">
        <f>('HCI Financial Year Averages'!E19-'HCI Financial Year Averages'!E18)/'HCI Financial Year Averages'!E18*100</f>
        <v>1.7950288021045782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HCI Tenure</vt:lpstr>
      <vt:lpstr>HCI Financial Year Averages</vt:lpstr>
      <vt:lpstr>HCI Annual 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Onett Perera</dc:creator>
  <cp:lastModifiedBy>Onett Perera</cp:lastModifiedBy>
  <dcterms:created xsi:type="dcterms:W3CDTF">2026-04-04T19:26:27Z</dcterms:created>
  <dcterms:modified xsi:type="dcterms:W3CDTF">2026-04-04T22:40:34Z</dcterms:modified>
</cp:coreProperties>
</file>